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y picks" sheetId="1" state="visible" r:id="rId1"/>
    <sheet xmlns:r="http://schemas.openxmlformats.org/officeDocument/2006/relationships" name="East" sheetId="2" state="visible" r:id="rId2"/>
    <sheet xmlns:r="http://schemas.openxmlformats.org/officeDocument/2006/relationships" name="We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9EAD3"/>
        </patternFill>
      </fill>
    </dxf>
    <dxf>
      <fill>
        <patternFill patternType="solid">
          <fgColor rgb="00FCE5CD"/>
        </patternFill>
      </fill>
    </dxf>
    <dxf>
      <fill>
        <patternFill patternType="solid">
          <fgColor rgb="00EFEFE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4" max="4"/>
    <col width="12" customWidth="1" min="5" max="5"/>
    <col hidden="1" width="13" customWidth="1" min="9" max="9"/>
  </cols>
  <sheetData>
    <row r="1">
      <c r="A1" s="1" t="inlineStr">
        <is>
          <t>Team</t>
        </is>
      </c>
      <c r="B1" s="1" t="inlineStr">
        <is>
          <t>Abbr</t>
        </is>
      </c>
      <c r="C1" s="1" t="inlineStr">
        <is>
          <t>Conference</t>
        </is>
      </c>
      <c r="D1" s="1" t="inlineStr">
        <is>
          <t>Division</t>
        </is>
      </c>
      <c r="E1" s="1" t="inlineStr">
        <is>
          <t>2025-26 W-L</t>
        </is>
      </c>
      <c r="F1" s="1" t="inlineStr">
        <is>
          <t>My wins</t>
        </is>
      </c>
      <c r="G1" s="1" t="inlineStr">
        <is>
          <t>My losses</t>
        </is>
      </c>
      <c r="H1" s="1" t="inlineStr">
        <is>
          <t>Conf. rank</t>
        </is>
      </c>
      <c r="I1" s="1" t="inlineStr">
        <is>
          <t>key</t>
        </is>
      </c>
    </row>
    <row r="2">
      <c r="A2" t="inlineStr">
        <is>
          <t>Atlanta Hawks</t>
        </is>
      </c>
      <c r="B2" t="inlineStr">
        <is>
          <t>ATL</t>
        </is>
      </c>
      <c r="C2" t="inlineStr">
        <is>
          <t>East</t>
        </is>
      </c>
      <c r="D2" t="inlineStr">
        <is>
          <t>Southeast</t>
        </is>
      </c>
      <c r="E2" t="inlineStr">
        <is>
          <t>46-36</t>
        </is>
      </c>
      <c r="F2" s="2" t="n"/>
      <c r="G2">
        <f>IF(F2="","",82-F2)</f>
        <v/>
      </c>
      <c r="H2">
        <f>IF(F2="","",COUNTIFS($C$2:$C$31,C2,$F$2:$F$31,"&gt;"&amp;F2)+COUNTIFS($C$2:$C$31,C2,$F$2:$F$31,F2,$A$2:$A$31,"&lt;"&amp;A2)+1)</f>
        <v/>
      </c>
      <c r="I2">
        <f>IF(H2="","",C2&amp;"-"&amp;H2)</f>
        <v/>
      </c>
    </row>
    <row r="3">
      <c r="A3" t="inlineStr">
        <is>
          <t>Boston Celtics</t>
        </is>
      </c>
      <c r="B3" t="inlineStr">
        <is>
          <t>BOS</t>
        </is>
      </c>
      <c r="C3" t="inlineStr">
        <is>
          <t>East</t>
        </is>
      </c>
      <c r="D3" t="inlineStr">
        <is>
          <t>Atlantic</t>
        </is>
      </c>
      <c r="E3" t="inlineStr">
        <is>
          <t>56-26</t>
        </is>
      </c>
      <c r="F3" s="2" t="n"/>
      <c r="G3">
        <f>IF(F3="","",82-F3)</f>
        <v/>
      </c>
      <c r="H3">
        <f>IF(F3="","",COUNTIFS($C$2:$C$31,C3,$F$2:$F$31,"&gt;"&amp;F3)+COUNTIFS($C$2:$C$31,C3,$F$2:$F$31,F3,$A$2:$A$31,"&lt;"&amp;A3)+1)</f>
        <v/>
      </c>
      <c r="I3">
        <f>IF(H3="","",C3&amp;"-"&amp;H3)</f>
        <v/>
      </c>
    </row>
    <row r="4">
      <c r="A4" t="inlineStr">
        <is>
          <t>Brooklyn Nets</t>
        </is>
      </c>
      <c r="B4" t="inlineStr">
        <is>
          <t>BRK</t>
        </is>
      </c>
      <c r="C4" t="inlineStr">
        <is>
          <t>East</t>
        </is>
      </c>
      <c r="D4" t="inlineStr">
        <is>
          <t>Atlantic</t>
        </is>
      </c>
      <c r="E4" t="inlineStr">
        <is>
          <t>20-62</t>
        </is>
      </c>
      <c r="F4" s="2" t="n"/>
      <c r="G4">
        <f>IF(F4="","",82-F4)</f>
        <v/>
      </c>
      <c r="H4">
        <f>IF(F4="","",COUNTIFS($C$2:$C$31,C4,$F$2:$F$31,"&gt;"&amp;F4)+COUNTIFS($C$2:$C$31,C4,$F$2:$F$31,F4,$A$2:$A$31,"&lt;"&amp;A4)+1)</f>
        <v/>
      </c>
      <c r="I4">
        <f>IF(H4="","",C4&amp;"-"&amp;H4)</f>
        <v/>
      </c>
    </row>
    <row r="5">
      <c r="A5" t="inlineStr">
        <is>
          <t>Charlotte Hornets</t>
        </is>
      </c>
      <c r="B5" t="inlineStr">
        <is>
          <t>CHO</t>
        </is>
      </c>
      <c r="C5" t="inlineStr">
        <is>
          <t>East</t>
        </is>
      </c>
      <c r="D5" t="inlineStr">
        <is>
          <t>Southeast</t>
        </is>
      </c>
      <c r="E5" t="inlineStr">
        <is>
          <t>44-38</t>
        </is>
      </c>
      <c r="F5" s="2" t="n"/>
      <c r="G5">
        <f>IF(F5="","",82-F5)</f>
        <v/>
      </c>
      <c r="H5">
        <f>IF(F5="","",COUNTIFS($C$2:$C$31,C5,$F$2:$F$31,"&gt;"&amp;F5)+COUNTIFS($C$2:$C$31,C5,$F$2:$F$31,F5,$A$2:$A$31,"&lt;"&amp;A5)+1)</f>
        <v/>
      </c>
      <c r="I5">
        <f>IF(H5="","",C5&amp;"-"&amp;H5)</f>
        <v/>
      </c>
    </row>
    <row r="6">
      <c r="A6" t="inlineStr">
        <is>
          <t>Chicago Bulls</t>
        </is>
      </c>
      <c r="B6" t="inlineStr">
        <is>
          <t>CHI</t>
        </is>
      </c>
      <c r="C6" t="inlineStr">
        <is>
          <t>East</t>
        </is>
      </c>
      <c r="D6" t="inlineStr">
        <is>
          <t>Central</t>
        </is>
      </c>
      <c r="E6" t="inlineStr">
        <is>
          <t>31-51</t>
        </is>
      </c>
      <c r="F6" s="2" t="n"/>
      <c r="G6">
        <f>IF(F6="","",82-F6)</f>
        <v/>
      </c>
      <c r="H6">
        <f>IF(F6="","",COUNTIFS($C$2:$C$31,C6,$F$2:$F$31,"&gt;"&amp;F6)+COUNTIFS($C$2:$C$31,C6,$F$2:$F$31,F6,$A$2:$A$31,"&lt;"&amp;A6)+1)</f>
        <v/>
      </c>
      <c r="I6">
        <f>IF(H6="","",C6&amp;"-"&amp;H6)</f>
        <v/>
      </c>
    </row>
    <row r="7">
      <c r="A7" t="inlineStr">
        <is>
          <t>Cleveland Cavaliers</t>
        </is>
      </c>
      <c r="B7" t="inlineStr">
        <is>
          <t>CLE</t>
        </is>
      </c>
      <c r="C7" t="inlineStr">
        <is>
          <t>East</t>
        </is>
      </c>
      <c r="D7" t="inlineStr">
        <is>
          <t>Central</t>
        </is>
      </c>
      <c r="E7" t="inlineStr">
        <is>
          <t>52-30</t>
        </is>
      </c>
      <c r="F7" s="2" t="n"/>
      <c r="G7">
        <f>IF(F7="","",82-F7)</f>
        <v/>
      </c>
      <c r="H7">
        <f>IF(F7="","",COUNTIFS($C$2:$C$31,C7,$F$2:$F$31,"&gt;"&amp;F7)+COUNTIFS($C$2:$C$31,C7,$F$2:$F$31,F7,$A$2:$A$31,"&lt;"&amp;A7)+1)</f>
        <v/>
      </c>
      <c r="I7">
        <f>IF(H7="","",C7&amp;"-"&amp;H7)</f>
        <v/>
      </c>
    </row>
    <row r="8">
      <c r="A8" t="inlineStr">
        <is>
          <t>Detroit Pistons</t>
        </is>
      </c>
      <c r="B8" t="inlineStr">
        <is>
          <t>DET</t>
        </is>
      </c>
      <c r="C8" t="inlineStr">
        <is>
          <t>East</t>
        </is>
      </c>
      <c r="D8" t="inlineStr">
        <is>
          <t>Central</t>
        </is>
      </c>
      <c r="E8" t="inlineStr">
        <is>
          <t>60-22</t>
        </is>
      </c>
      <c r="F8" s="2" t="n"/>
      <c r="G8">
        <f>IF(F8="","",82-F8)</f>
        <v/>
      </c>
      <c r="H8">
        <f>IF(F8="","",COUNTIFS($C$2:$C$31,C8,$F$2:$F$31,"&gt;"&amp;F8)+COUNTIFS($C$2:$C$31,C8,$F$2:$F$31,F8,$A$2:$A$31,"&lt;"&amp;A8)+1)</f>
        <v/>
      </c>
      <c r="I8">
        <f>IF(H8="","",C8&amp;"-"&amp;H8)</f>
        <v/>
      </c>
    </row>
    <row r="9">
      <c r="A9" t="inlineStr">
        <is>
          <t>Indiana Pacers</t>
        </is>
      </c>
      <c r="B9" t="inlineStr">
        <is>
          <t>IND</t>
        </is>
      </c>
      <c r="C9" t="inlineStr">
        <is>
          <t>East</t>
        </is>
      </c>
      <c r="D9" t="inlineStr">
        <is>
          <t>Central</t>
        </is>
      </c>
      <c r="E9" t="inlineStr">
        <is>
          <t>19-63</t>
        </is>
      </c>
      <c r="F9" s="2" t="n"/>
      <c r="G9">
        <f>IF(F9="","",82-F9)</f>
        <v/>
      </c>
      <c r="H9">
        <f>IF(F9="","",COUNTIFS($C$2:$C$31,C9,$F$2:$F$31,"&gt;"&amp;F9)+COUNTIFS($C$2:$C$31,C9,$F$2:$F$31,F9,$A$2:$A$31,"&lt;"&amp;A9)+1)</f>
        <v/>
      </c>
      <c r="I9">
        <f>IF(H9="","",C9&amp;"-"&amp;H9)</f>
        <v/>
      </c>
    </row>
    <row r="10">
      <c r="A10" t="inlineStr">
        <is>
          <t>Miami Heat</t>
        </is>
      </c>
      <c r="B10" t="inlineStr">
        <is>
          <t>MIA</t>
        </is>
      </c>
      <c r="C10" t="inlineStr">
        <is>
          <t>East</t>
        </is>
      </c>
      <c r="D10" t="inlineStr">
        <is>
          <t>Southeast</t>
        </is>
      </c>
      <c r="E10" t="inlineStr">
        <is>
          <t>43-39</t>
        </is>
      </c>
      <c r="F10" s="2" t="n"/>
      <c r="G10">
        <f>IF(F10="","",82-F10)</f>
        <v/>
      </c>
      <c r="H10">
        <f>IF(F10="","",COUNTIFS($C$2:$C$31,C10,$F$2:$F$31,"&gt;"&amp;F10)+COUNTIFS($C$2:$C$31,C10,$F$2:$F$31,F10,$A$2:$A$31,"&lt;"&amp;A10)+1)</f>
        <v/>
      </c>
      <c r="I10">
        <f>IF(H10="","",C10&amp;"-"&amp;H10)</f>
        <v/>
      </c>
    </row>
    <row r="11">
      <c r="A11" t="inlineStr">
        <is>
          <t>Milwaukee Bucks</t>
        </is>
      </c>
      <c r="B11" t="inlineStr">
        <is>
          <t>MIL</t>
        </is>
      </c>
      <c r="C11" t="inlineStr">
        <is>
          <t>East</t>
        </is>
      </c>
      <c r="D11" t="inlineStr">
        <is>
          <t>Central</t>
        </is>
      </c>
      <c r="E11" t="inlineStr">
        <is>
          <t>32-50</t>
        </is>
      </c>
      <c r="F11" s="2" t="n"/>
      <c r="G11">
        <f>IF(F11="","",82-F11)</f>
        <v/>
      </c>
      <c r="H11">
        <f>IF(F11="","",COUNTIFS($C$2:$C$31,C11,$F$2:$F$31,"&gt;"&amp;F11)+COUNTIFS($C$2:$C$31,C11,$F$2:$F$31,F11,$A$2:$A$31,"&lt;"&amp;A11)+1)</f>
        <v/>
      </c>
      <c r="I11">
        <f>IF(H11="","",C11&amp;"-"&amp;H11)</f>
        <v/>
      </c>
    </row>
    <row r="12">
      <c r="A12" t="inlineStr">
        <is>
          <t>New York Knicks</t>
        </is>
      </c>
      <c r="B12" t="inlineStr">
        <is>
          <t>NYK</t>
        </is>
      </c>
      <c r="C12" t="inlineStr">
        <is>
          <t>East</t>
        </is>
      </c>
      <c r="D12" t="inlineStr">
        <is>
          <t>Atlantic</t>
        </is>
      </c>
      <c r="E12" t="inlineStr">
        <is>
          <t>53-29</t>
        </is>
      </c>
      <c r="F12" s="2" t="n"/>
      <c r="G12">
        <f>IF(F12="","",82-F12)</f>
        <v/>
      </c>
      <c r="H12">
        <f>IF(F12="","",COUNTIFS($C$2:$C$31,C12,$F$2:$F$31,"&gt;"&amp;F12)+COUNTIFS($C$2:$C$31,C12,$F$2:$F$31,F12,$A$2:$A$31,"&lt;"&amp;A12)+1)</f>
        <v/>
      </c>
      <c r="I12">
        <f>IF(H12="","",C12&amp;"-"&amp;H12)</f>
        <v/>
      </c>
    </row>
    <row r="13">
      <c r="A13" t="inlineStr">
        <is>
          <t>Orlando Magic</t>
        </is>
      </c>
      <c r="B13" t="inlineStr">
        <is>
          <t>ORL</t>
        </is>
      </c>
      <c r="C13" t="inlineStr">
        <is>
          <t>East</t>
        </is>
      </c>
      <c r="D13" t="inlineStr">
        <is>
          <t>Southeast</t>
        </is>
      </c>
      <c r="E13" t="inlineStr">
        <is>
          <t>45-37</t>
        </is>
      </c>
      <c r="F13" s="2" t="n"/>
      <c r="G13">
        <f>IF(F13="","",82-F13)</f>
        <v/>
      </c>
      <c r="H13">
        <f>IF(F13="","",COUNTIFS($C$2:$C$31,C13,$F$2:$F$31,"&gt;"&amp;F13)+COUNTIFS($C$2:$C$31,C13,$F$2:$F$31,F13,$A$2:$A$31,"&lt;"&amp;A13)+1)</f>
        <v/>
      </c>
      <c r="I13">
        <f>IF(H13="","",C13&amp;"-"&amp;H13)</f>
        <v/>
      </c>
    </row>
    <row r="14">
      <c r="A14" t="inlineStr">
        <is>
          <t>Philadelphia 76ers</t>
        </is>
      </c>
      <c r="B14" t="inlineStr">
        <is>
          <t>PHI</t>
        </is>
      </c>
      <c r="C14" t="inlineStr">
        <is>
          <t>East</t>
        </is>
      </c>
      <c r="D14" t="inlineStr">
        <is>
          <t>Atlantic</t>
        </is>
      </c>
      <c r="E14" t="inlineStr">
        <is>
          <t>45-37</t>
        </is>
      </c>
      <c r="F14" s="2" t="n"/>
      <c r="G14">
        <f>IF(F14="","",82-F14)</f>
        <v/>
      </c>
      <c r="H14">
        <f>IF(F14="","",COUNTIFS($C$2:$C$31,C14,$F$2:$F$31,"&gt;"&amp;F14)+COUNTIFS($C$2:$C$31,C14,$F$2:$F$31,F14,$A$2:$A$31,"&lt;"&amp;A14)+1)</f>
        <v/>
      </c>
      <c r="I14">
        <f>IF(H14="","",C14&amp;"-"&amp;H14)</f>
        <v/>
      </c>
    </row>
    <row r="15">
      <c r="A15" t="inlineStr">
        <is>
          <t>Toronto Raptors</t>
        </is>
      </c>
      <c r="B15" t="inlineStr">
        <is>
          <t>TOR</t>
        </is>
      </c>
      <c r="C15" t="inlineStr">
        <is>
          <t>East</t>
        </is>
      </c>
      <c r="D15" t="inlineStr">
        <is>
          <t>Atlantic</t>
        </is>
      </c>
      <c r="E15" t="inlineStr">
        <is>
          <t>46-36</t>
        </is>
      </c>
      <c r="F15" s="2" t="n"/>
      <c r="G15">
        <f>IF(F15="","",82-F15)</f>
        <v/>
      </c>
      <c r="H15">
        <f>IF(F15="","",COUNTIFS($C$2:$C$31,C15,$F$2:$F$31,"&gt;"&amp;F15)+COUNTIFS($C$2:$C$31,C15,$F$2:$F$31,F15,$A$2:$A$31,"&lt;"&amp;A15)+1)</f>
        <v/>
      </c>
      <c r="I15">
        <f>IF(H15="","",C15&amp;"-"&amp;H15)</f>
        <v/>
      </c>
    </row>
    <row r="16">
      <c r="A16" t="inlineStr">
        <is>
          <t>Washington Wizards</t>
        </is>
      </c>
      <c r="B16" t="inlineStr">
        <is>
          <t>WAS</t>
        </is>
      </c>
      <c r="C16" t="inlineStr">
        <is>
          <t>East</t>
        </is>
      </c>
      <c r="D16" t="inlineStr">
        <is>
          <t>Southeast</t>
        </is>
      </c>
      <c r="E16" t="inlineStr">
        <is>
          <t>17-65</t>
        </is>
      </c>
      <c r="F16" s="2" t="n"/>
      <c r="G16">
        <f>IF(F16="","",82-F16)</f>
        <v/>
      </c>
      <c r="H16">
        <f>IF(F16="","",COUNTIFS($C$2:$C$31,C16,$F$2:$F$31,"&gt;"&amp;F16)+COUNTIFS($C$2:$C$31,C16,$F$2:$F$31,F16,$A$2:$A$31,"&lt;"&amp;A16)+1)</f>
        <v/>
      </c>
      <c r="I16">
        <f>IF(H16="","",C16&amp;"-"&amp;H16)</f>
        <v/>
      </c>
    </row>
    <row r="17">
      <c r="A17" t="inlineStr">
        <is>
          <t>Dallas Mavericks</t>
        </is>
      </c>
      <c r="B17" t="inlineStr">
        <is>
          <t>DAL</t>
        </is>
      </c>
      <c r="C17" t="inlineStr">
        <is>
          <t>West</t>
        </is>
      </c>
      <c r="D17" t="inlineStr">
        <is>
          <t>Southwest</t>
        </is>
      </c>
      <c r="E17" t="inlineStr">
        <is>
          <t>26-56</t>
        </is>
      </c>
      <c r="F17" s="2" t="n"/>
      <c r="G17">
        <f>IF(F17="","",82-F17)</f>
        <v/>
      </c>
      <c r="H17">
        <f>IF(F17="","",COUNTIFS($C$2:$C$31,C17,$F$2:$F$31,"&gt;"&amp;F17)+COUNTIFS($C$2:$C$31,C17,$F$2:$F$31,F17,$A$2:$A$31,"&lt;"&amp;A17)+1)</f>
        <v/>
      </c>
      <c r="I17">
        <f>IF(H17="","",C17&amp;"-"&amp;H17)</f>
        <v/>
      </c>
    </row>
    <row r="18">
      <c r="A18" t="inlineStr">
        <is>
          <t>Denver Nuggets</t>
        </is>
      </c>
      <c r="B18" t="inlineStr">
        <is>
          <t>DEN</t>
        </is>
      </c>
      <c r="C18" t="inlineStr">
        <is>
          <t>West</t>
        </is>
      </c>
      <c r="D18" t="inlineStr">
        <is>
          <t>Northwest</t>
        </is>
      </c>
      <c r="E18" t="inlineStr">
        <is>
          <t>54-28</t>
        </is>
      </c>
      <c r="F18" s="2" t="n"/>
      <c r="G18">
        <f>IF(F18="","",82-F18)</f>
        <v/>
      </c>
      <c r="H18">
        <f>IF(F18="","",COUNTIFS($C$2:$C$31,C18,$F$2:$F$31,"&gt;"&amp;F18)+COUNTIFS($C$2:$C$31,C18,$F$2:$F$31,F18,$A$2:$A$31,"&lt;"&amp;A18)+1)</f>
        <v/>
      </c>
      <c r="I18">
        <f>IF(H18="","",C18&amp;"-"&amp;H18)</f>
        <v/>
      </c>
    </row>
    <row r="19">
      <c r="A19" t="inlineStr">
        <is>
          <t>Golden State Warriors</t>
        </is>
      </c>
      <c r="B19" t="inlineStr">
        <is>
          <t>GSW</t>
        </is>
      </c>
      <c r="C19" t="inlineStr">
        <is>
          <t>West</t>
        </is>
      </c>
      <c r="D19" t="inlineStr">
        <is>
          <t>Pacific</t>
        </is>
      </c>
      <c r="E19" t="inlineStr">
        <is>
          <t>37-45</t>
        </is>
      </c>
      <c r="F19" s="2" t="n"/>
      <c r="G19">
        <f>IF(F19="","",82-F19)</f>
        <v/>
      </c>
      <c r="H19">
        <f>IF(F19="","",COUNTIFS($C$2:$C$31,C19,$F$2:$F$31,"&gt;"&amp;F19)+COUNTIFS($C$2:$C$31,C19,$F$2:$F$31,F19,$A$2:$A$31,"&lt;"&amp;A19)+1)</f>
        <v/>
      </c>
      <c r="I19">
        <f>IF(H19="","",C19&amp;"-"&amp;H19)</f>
        <v/>
      </c>
    </row>
    <row r="20">
      <c r="A20" t="inlineStr">
        <is>
          <t>Houston Rockets</t>
        </is>
      </c>
      <c r="B20" t="inlineStr">
        <is>
          <t>HOU</t>
        </is>
      </c>
      <c r="C20" t="inlineStr">
        <is>
          <t>West</t>
        </is>
      </c>
      <c r="D20" t="inlineStr">
        <is>
          <t>Southwest</t>
        </is>
      </c>
      <c r="E20" t="inlineStr">
        <is>
          <t>52-30</t>
        </is>
      </c>
      <c r="F20" s="2" t="n"/>
      <c r="G20">
        <f>IF(F20="","",82-F20)</f>
        <v/>
      </c>
      <c r="H20">
        <f>IF(F20="","",COUNTIFS($C$2:$C$31,C20,$F$2:$F$31,"&gt;"&amp;F20)+COUNTIFS($C$2:$C$31,C20,$F$2:$F$31,F20,$A$2:$A$31,"&lt;"&amp;A20)+1)</f>
        <v/>
      </c>
      <c r="I20">
        <f>IF(H20="","",C20&amp;"-"&amp;H20)</f>
        <v/>
      </c>
    </row>
    <row r="21">
      <c r="A21" t="inlineStr">
        <is>
          <t>Los Angeles Clippers</t>
        </is>
      </c>
      <c r="B21" t="inlineStr">
        <is>
          <t>LAC</t>
        </is>
      </c>
      <c r="C21" t="inlineStr">
        <is>
          <t>West</t>
        </is>
      </c>
      <c r="D21" t="inlineStr">
        <is>
          <t>Pacific</t>
        </is>
      </c>
      <c r="E21" t="inlineStr">
        <is>
          <t>42-40</t>
        </is>
      </c>
      <c r="F21" s="2" t="n"/>
      <c r="G21">
        <f>IF(F21="","",82-F21)</f>
        <v/>
      </c>
      <c r="H21">
        <f>IF(F21="","",COUNTIFS($C$2:$C$31,C21,$F$2:$F$31,"&gt;"&amp;F21)+COUNTIFS($C$2:$C$31,C21,$F$2:$F$31,F21,$A$2:$A$31,"&lt;"&amp;A21)+1)</f>
        <v/>
      </c>
      <c r="I21">
        <f>IF(H21="","",C21&amp;"-"&amp;H21)</f>
        <v/>
      </c>
    </row>
    <row r="22">
      <c r="A22" t="inlineStr">
        <is>
          <t>Los Angeles Lakers</t>
        </is>
      </c>
      <c r="B22" t="inlineStr">
        <is>
          <t>LAL</t>
        </is>
      </c>
      <c r="C22" t="inlineStr">
        <is>
          <t>West</t>
        </is>
      </c>
      <c r="D22" t="inlineStr">
        <is>
          <t>Pacific</t>
        </is>
      </c>
      <c r="E22" t="inlineStr">
        <is>
          <t>53-29</t>
        </is>
      </c>
      <c r="F22" s="2" t="n"/>
      <c r="G22">
        <f>IF(F22="","",82-F22)</f>
        <v/>
      </c>
      <c r="H22">
        <f>IF(F22="","",COUNTIFS($C$2:$C$31,C22,$F$2:$F$31,"&gt;"&amp;F22)+COUNTIFS($C$2:$C$31,C22,$F$2:$F$31,F22,$A$2:$A$31,"&lt;"&amp;A22)+1)</f>
        <v/>
      </c>
      <c r="I22">
        <f>IF(H22="","",C22&amp;"-"&amp;H22)</f>
        <v/>
      </c>
    </row>
    <row r="23">
      <c r="A23" t="inlineStr">
        <is>
          <t>Memphis Grizzlies</t>
        </is>
      </c>
      <c r="B23" t="inlineStr">
        <is>
          <t>MEM</t>
        </is>
      </c>
      <c r="C23" t="inlineStr">
        <is>
          <t>West</t>
        </is>
      </c>
      <c r="D23" t="inlineStr">
        <is>
          <t>Southwest</t>
        </is>
      </c>
      <c r="E23" t="inlineStr">
        <is>
          <t>25-57</t>
        </is>
      </c>
      <c r="F23" s="2" t="n"/>
      <c r="G23">
        <f>IF(F23="","",82-F23)</f>
        <v/>
      </c>
      <c r="H23">
        <f>IF(F23="","",COUNTIFS($C$2:$C$31,C23,$F$2:$F$31,"&gt;"&amp;F23)+COUNTIFS($C$2:$C$31,C23,$F$2:$F$31,F23,$A$2:$A$31,"&lt;"&amp;A23)+1)</f>
        <v/>
      </c>
      <c r="I23">
        <f>IF(H23="","",C23&amp;"-"&amp;H23)</f>
        <v/>
      </c>
    </row>
    <row r="24">
      <c r="A24" t="inlineStr">
        <is>
          <t>Minnesota Timberwolves</t>
        </is>
      </c>
      <c r="B24" t="inlineStr">
        <is>
          <t>MIN</t>
        </is>
      </c>
      <c r="C24" t="inlineStr">
        <is>
          <t>West</t>
        </is>
      </c>
      <c r="D24" t="inlineStr">
        <is>
          <t>Northwest</t>
        </is>
      </c>
      <c r="E24" t="inlineStr">
        <is>
          <t>49-33</t>
        </is>
      </c>
      <c r="F24" s="2" t="n"/>
      <c r="G24">
        <f>IF(F24="","",82-F24)</f>
        <v/>
      </c>
      <c r="H24">
        <f>IF(F24="","",COUNTIFS($C$2:$C$31,C24,$F$2:$F$31,"&gt;"&amp;F24)+COUNTIFS($C$2:$C$31,C24,$F$2:$F$31,F24,$A$2:$A$31,"&lt;"&amp;A24)+1)</f>
        <v/>
      </c>
      <c r="I24">
        <f>IF(H24="","",C24&amp;"-"&amp;H24)</f>
        <v/>
      </c>
    </row>
    <row r="25">
      <c r="A25" t="inlineStr">
        <is>
          <t>New Orleans Pelicans</t>
        </is>
      </c>
      <c r="B25" t="inlineStr">
        <is>
          <t>NOP</t>
        </is>
      </c>
      <c r="C25" t="inlineStr">
        <is>
          <t>West</t>
        </is>
      </c>
      <c r="D25" t="inlineStr">
        <is>
          <t>Southwest</t>
        </is>
      </c>
      <c r="E25" t="inlineStr">
        <is>
          <t>26-56</t>
        </is>
      </c>
      <c r="F25" s="2" t="n"/>
      <c r="G25">
        <f>IF(F25="","",82-F25)</f>
        <v/>
      </c>
      <c r="H25">
        <f>IF(F25="","",COUNTIFS($C$2:$C$31,C25,$F$2:$F$31,"&gt;"&amp;F25)+COUNTIFS($C$2:$C$31,C25,$F$2:$F$31,F25,$A$2:$A$31,"&lt;"&amp;A25)+1)</f>
        <v/>
      </c>
      <c r="I25">
        <f>IF(H25="","",C25&amp;"-"&amp;H25)</f>
        <v/>
      </c>
    </row>
    <row r="26">
      <c r="A26" t="inlineStr">
        <is>
          <t>Oklahoma City Thunder</t>
        </is>
      </c>
      <c r="B26" t="inlineStr">
        <is>
          <t>OKC</t>
        </is>
      </c>
      <c r="C26" t="inlineStr">
        <is>
          <t>West</t>
        </is>
      </c>
      <c r="D26" t="inlineStr">
        <is>
          <t>Northwest</t>
        </is>
      </c>
      <c r="E26" t="inlineStr">
        <is>
          <t>64-18</t>
        </is>
      </c>
      <c r="F26" s="2" t="n"/>
      <c r="G26">
        <f>IF(F26="","",82-F26)</f>
        <v/>
      </c>
      <c r="H26">
        <f>IF(F26="","",COUNTIFS($C$2:$C$31,C26,$F$2:$F$31,"&gt;"&amp;F26)+COUNTIFS($C$2:$C$31,C26,$F$2:$F$31,F26,$A$2:$A$31,"&lt;"&amp;A26)+1)</f>
        <v/>
      </c>
      <c r="I26">
        <f>IF(H26="","",C26&amp;"-"&amp;H26)</f>
        <v/>
      </c>
    </row>
    <row r="27">
      <c r="A27" t="inlineStr">
        <is>
          <t>Phoenix Suns</t>
        </is>
      </c>
      <c r="B27" t="inlineStr">
        <is>
          <t>PHO</t>
        </is>
      </c>
      <c r="C27" t="inlineStr">
        <is>
          <t>West</t>
        </is>
      </c>
      <c r="D27" t="inlineStr">
        <is>
          <t>Pacific</t>
        </is>
      </c>
      <c r="E27" t="inlineStr">
        <is>
          <t>45-37</t>
        </is>
      </c>
      <c r="F27" s="2" t="n"/>
      <c r="G27">
        <f>IF(F27="","",82-F27)</f>
        <v/>
      </c>
      <c r="H27">
        <f>IF(F27="","",COUNTIFS($C$2:$C$31,C27,$F$2:$F$31,"&gt;"&amp;F27)+COUNTIFS($C$2:$C$31,C27,$F$2:$F$31,F27,$A$2:$A$31,"&lt;"&amp;A27)+1)</f>
        <v/>
      </c>
      <c r="I27">
        <f>IF(H27="","",C27&amp;"-"&amp;H27)</f>
        <v/>
      </c>
    </row>
    <row r="28">
      <c r="A28" t="inlineStr">
        <is>
          <t>Portland Trail Blazers</t>
        </is>
      </c>
      <c r="B28" t="inlineStr">
        <is>
          <t>POR</t>
        </is>
      </c>
      <c r="C28" t="inlineStr">
        <is>
          <t>West</t>
        </is>
      </c>
      <c r="D28" t="inlineStr">
        <is>
          <t>Northwest</t>
        </is>
      </c>
      <c r="E28" t="inlineStr">
        <is>
          <t>42-40</t>
        </is>
      </c>
      <c r="F28" s="2" t="n"/>
      <c r="G28">
        <f>IF(F28="","",82-F28)</f>
        <v/>
      </c>
      <c r="H28">
        <f>IF(F28="","",COUNTIFS($C$2:$C$31,C28,$F$2:$F$31,"&gt;"&amp;F28)+COUNTIFS($C$2:$C$31,C28,$F$2:$F$31,F28,$A$2:$A$31,"&lt;"&amp;A28)+1)</f>
        <v/>
      </c>
      <c r="I28">
        <f>IF(H28="","",C28&amp;"-"&amp;H28)</f>
        <v/>
      </c>
    </row>
    <row r="29">
      <c r="A29" t="inlineStr">
        <is>
          <t>Sacramento Kings</t>
        </is>
      </c>
      <c r="B29" t="inlineStr">
        <is>
          <t>SAC</t>
        </is>
      </c>
      <c r="C29" t="inlineStr">
        <is>
          <t>West</t>
        </is>
      </c>
      <c r="D29" t="inlineStr">
        <is>
          <t>Pacific</t>
        </is>
      </c>
      <c r="E29" t="inlineStr">
        <is>
          <t>22-60</t>
        </is>
      </c>
      <c r="F29" s="2" t="n"/>
      <c r="G29">
        <f>IF(F29="","",82-F29)</f>
        <v/>
      </c>
      <c r="H29">
        <f>IF(F29="","",COUNTIFS($C$2:$C$31,C29,$F$2:$F$31,"&gt;"&amp;F29)+COUNTIFS($C$2:$C$31,C29,$F$2:$F$31,F29,$A$2:$A$31,"&lt;"&amp;A29)+1)</f>
        <v/>
      </c>
      <c r="I29">
        <f>IF(H29="","",C29&amp;"-"&amp;H29)</f>
        <v/>
      </c>
    </row>
    <row r="30">
      <c r="A30" t="inlineStr">
        <is>
          <t>San Antonio Spurs</t>
        </is>
      </c>
      <c r="B30" t="inlineStr">
        <is>
          <t>SAS</t>
        </is>
      </c>
      <c r="C30" t="inlineStr">
        <is>
          <t>West</t>
        </is>
      </c>
      <c r="D30" t="inlineStr">
        <is>
          <t>Southwest</t>
        </is>
      </c>
      <c r="E30" t="inlineStr">
        <is>
          <t>62-20</t>
        </is>
      </c>
      <c r="F30" s="2" t="n"/>
      <c r="G30">
        <f>IF(F30="","",82-F30)</f>
        <v/>
      </c>
      <c r="H30">
        <f>IF(F30="","",COUNTIFS($C$2:$C$31,C30,$F$2:$F$31,"&gt;"&amp;F30)+COUNTIFS($C$2:$C$31,C30,$F$2:$F$31,F30,$A$2:$A$31,"&lt;"&amp;A30)+1)</f>
        <v/>
      </c>
      <c r="I30">
        <f>IF(H30="","",C30&amp;"-"&amp;H30)</f>
        <v/>
      </c>
    </row>
    <row r="31">
      <c r="A31" t="inlineStr">
        <is>
          <t>Utah Jazz</t>
        </is>
      </c>
      <c r="B31" t="inlineStr">
        <is>
          <t>UTA</t>
        </is>
      </c>
      <c r="C31" t="inlineStr">
        <is>
          <t>West</t>
        </is>
      </c>
      <c r="D31" t="inlineStr">
        <is>
          <t>Northwest</t>
        </is>
      </c>
      <c r="E31" t="inlineStr">
        <is>
          <t>22-60</t>
        </is>
      </c>
      <c r="F31" s="2" t="n"/>
      <c r="G31">
        <f>IF(F31="","",82-F31)</f>
        <v/>
      </c>
      <c r="H31">
        <f>IF(F31="","",COUNTIFS($C$2:$C$31,C31,$F$2:$F$31,"&gt;"&amp;F31)+COUNTIFS($C$2:$C$31,C31,$F$2:$F$31,F31,$A$2:$A$31,"&lt;"&amp;A31)+1)</f>
        <v/>
      </c>
      <c r="I31">
        <f>IF(H31="","",C31&amp;"-"&amp;H31)</f>
        <v/>
      </c>
    </row>
    <row r="33">
      <c r="A33" s="1" t="inlineStr">
        <is>
          <t>Total wins</t>
        </is>
      </c>
      <c r="F33">
        <f>SUM(F2:F31)</f>
        <v/>
      </c>
    </row>
    <row r="34">
      <c r="A34" s="1" t="inlineStr">
        <is>
          <t>Must equal</t>
        </is>
      </c>
      <c r="F34" t="n">
        <v>1230</v>
      </c>
    </row>
    <row r="35">
      <c r="A35" s="1" t="inlineStr">
        <is>
          <t>Check</t>
        </is>
      </c>
      <c r="F35" s="1">
        <f>IF(COUNT(F2:F31)&lt;30,30-COUNT(F2:F31)&amp;" teams left",IF(F33=1230,"✓ adds up",IF(F33&lt;1230,(1230-F33)&amp;" wins short",(F33-1230)&amp;" wins too many")))</f>
        <v/>
      </c>
    </row>
  </sheetData>
  <dataValidations count="1">
    <dataValidation sqref="F2:F31" showDropDown="0" showInputMessage="0" showErrorMessage="1" allowBlank="0" error="Wins must be a whole number from 0 to 82." type="whole" operator="between">
      <formula1>0</formula1>
      <formula2>82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2" max="2"/>
  </cols>
  <sheetData>
    <row r="1">
      <c r="A1" s="1" t="inlineStr">
        <is>
          <t>Seed</t>
        </is>
      </c>
      <c r="B1" s="1" t="inlineStr">
        <is>
          <t>Team</t>
        </is>
      </c>
      <c r="C1" s="1" t="inlineStr">
        <is>
          <t>W</t>
        </is>
      </c>
      <c r="D1" s="1" t="inlineStr">
        <is>
          <t>L</t>
        </is>
      </c>
      <c r="E1" s="1" t="inlineStr">
        <is>
          <t>GB</t>
        </is>
      </c>
      <c r="F1" s="1" t="inlineStr">
        <is>
          <t>Status</t>
        </is>
      </c>
    </row>
    <row r="2">
      <c r="A2" t="n">
        <v>1</v>
      </c>
      <c r="B2">
        <f>IFERROR(INDEX('My picks'!$A$2:$A$31,MATCH("East-"&amp;A2,'My picks'!$I$2:$I$31,0)),"")</f>
        <v/>
      </c>
      <c r="C2">
        <f>IFERROR(INDEX('My picks'!$F$2:$F$31,MATCH("East-"&amp;A2,'My picks'!$I$2:$I$31,0)),"")</f>
        <v/>
      </c>
      <c r="D2">
        <f>IF(C2="","",82-C2)</f>
        <v/>
      </c>
      <c r="E2">
        <f>IF(C2="","",$C$2-C2)</f>
        <v/>
      </c>
      <c r="F2">
        <f>IF(B2="","",IF(A2&lt;=6,"Playoffs",IF(A2&lt;=10,"Play-in","Lottery")))</f>
        <v/>
      </c>
    </row>
    <row r="3">
      <c r="A3" t="n">
        <v>2</v>
      </c>
      <c r="B3">
        <f>IFERROR(INDEX('My picks'!$A$2:$A$31,MATCH("East-"&amp;A3,'My picks'!$I$2:$I$31,0)),"")</f>
        <v/>
      </c>
      <c r="C3">
        <f>IFERROR(INDEX('My picks'!$F$2:$F$31,MATCH("East-"&amp;A3,'My picks'!$I$2:$I$31,0)),"")</f>
        <v/>
      </c>
      <c r="D3">
        <f>IF(C3="","",82-C3)</f>
        <v/>
      </c>
      <c r="E3">
        <f>IF(C3="","",$C$2-C3)</f>
        <v/>
      </c>
      <c r="F3">
        <f>IF(B3="","",IF(A3&lt;=6,"Playoffs",IF(A3&lt;=10,"Play-in","Lottery")))</f>
        <v/>
      </c>
    </row>
    <row r="4">
      <c r="A4" t="n">
        <v>3</v>
      </c>
      <c r="B4">
        <f>IFERROR(INDEX('My picks'!$A$2:$A$31,MATCH("East-"&amp;A4,'My picks'!$I$2:$I$31,0)),"")</f>
        <v/>
      </c>
      <c r="C4">
        <f>IFERROR(INDEX('My picks'!$F$2:$F$31,MATCH("East-"&amp;A4,'My picks'!$I$2:$I$31,0)),"")</f>
        <v/>
      </c>
      <c r="D4">
        <f>IF(C4="","",82-C4)</f>
        <v/>
      </c>
      <c r="E4">
        <f>IF(C4="","",$C$2-C4)</f>
        <v/>
      </c>
      <c r="F4">
        <f>IF(B4="","",IF(A4&lt;=6,"Playoffs",IF(A4&lt;=10,"Play-in","Lottery")))</f>
        <v/>
      </c>
    </row>
    <row r="5">
      <c r="A5" t="n">
        <v>4</v>
      </c>
      <c r="B5">
        <f>IFERROR(INDEX('My picks'!$A$2:$A$31,MATCH("East-"&amp;A5,'My picks'!$I$2:$I$31,0)),"")</f>
        <v/>
      </c>
      <c r="C5">
        <f>IFERROR(INDEX('My picks'!$F$2:$F$31,MATCH("East-"&amp;A5,'My picks'!$I$2:$I$31,0)),"")</f>
        <v/>
      </c>
      <c r="D5">
        <f>IF(C5="","",82-C5)</f>
        <v/>
      </c>
      <c r="E5">
        <f>IF(C5="","",$C$2-C5)</f>
        <v/>
      </c>
      <c r="F5">
        <f>IF(B5="","",IF(A5&lt;=6,"Playoffs",IF(A5&lt;=10,"Play-in","Lottery")))</f>
        <v/>
      </c>
    </row>
    <row r="6">
      <c r="A6" t="n">
        <v>5</v>
      </c>
      <c r="B6">
        <f>IFERROR(INDEX('My picks'!$A$2:$A$31,MATCH("East-"&amp;A6,'My picks'!$I$2:$I$31,0)),"")</f>
        <v/>
      </c>
      <c r="C6">
        <f>IFERROR(INDEX('My picks'!$F$2:$F$31,MATCH("East-"&amp;A6,'My picks'!$I$2:$I$31,0)),"")</f>
        <v/>
      </c>
      <c r="D6">
        <f>IF(C6="","",82-C6)</f>
        <v/>
      </c>
      <c r="E6">
        <f>IF(C6="","",$C$2-C6)</f>
        <v/>
      </c>
      <c r="F6">
        <f>IF(B6="","",IF(A6&lt;=6,"Playoffs",IF(A6&lt;=10,"Play-in","Lottery")))</f>
        <v/>
      </c>
    </row>
    <row r="7">
      <c r="A7" t="n">
        <v>6</v>
      </c>
      <c r="B7">
        <f>IFERROR(INDEX('My picks'!$A$2:$A$31,MATCH("East-"&amp;A7,'My picks'!$I$2:$I$31,0)),"")</f>
        <v/>
      </c>
      <c r="C7">
        <f>IFERROR(INDEX('My picks'!$F$2:$F$31,MATCH("East-"&amp;A7,'My picks'!$I$2:$I$31,0)),"")</f>
        <v/>
      </c>
      <c r="D7">
        <f>IF(C7="","",82-C7)</f>
        <v/>
      </c>
      <c r="E7">
        <f>IF(C7="","",$C$2-C7)</f>
        <v/>
      </c>
      <c r="F7">
        <f>IF(B7="","",IF(A7&lt;=6,"Playoffs",IF(A7&lt;=10,"Play-in","Lottery")))</f>
        <v/>
      </c>
    </row>
    <row r="8">
      <c r="A8" t="n">
        <v>7</v>
      </c>
      <c r="B8">
        <f>IFERROR(INDEX('My picks'!$A$2:$A$31,MATCH("East-"&amp;A8,'My picks'!$I$2:$I$31,0)),"")</f>
        <v/>
      </c>
      <c r="C8">
        <f>IFERROR(INDEX('My picks'!$F$2:$F$31,MATCH("East-"&amp;A8,'My picks'!$I$2:$I$31,0)),"")</f>
        <v/>
      </c>
      <c r="D8">
        <f>IF(C8="","",82-C8)</f>
        <v/>
      </c>
      <c r="E8">
        <f>IF(C8="","",$C$2-C8)</f>
        <v/>
      </c>
      <c r="F8">
        <f>IF(B8="","",IF(A8&lt;=6,"Playoffs",IF(A8&lt;=10,"Play-in","Lottery")))</f>
        <v/>
      </c>
    </row>
    <row r="9">
      <c r="A9" t="n">
        <v>8</v>
      </c>
      <c r="B9">
        <f>IFERROR(INDEX('My picks'!$A$2:$A$31,MATCH("East-"&amp;A9,'My picks'!$I$2:$I$31,0)),"")</f>
        <v/>
      </c>
      <c r="C9">
        <f>IFERROR(INDEX('My picks'!$F$2:$F$31,MATCH("East-"&amp;A9,'My picks'!$I$2:$I$31,0)),"")</f>
        <v/>
      </c>
      <c r="D9">
        <f>IF(C9="","",82-C9)</f>
        <v/>
      </c>
      <c r="E9">
        <f>IF(C9="","",$C$2-C9)</f>
        <v/>
      </c>
      <c r="F9">
        <f>IF(B9="","",IF(A9&lt;=6,"Playoffs",IF(A9&lt;=10,"Play-in","Lottery")))</f>
        <v/>
      </c>
    </row>
    <row r="10">
      <c r="A10" t="n">
        <v>9</v>
      </c>
      <c r="B10">
        <f>IFERROR(INDEX('My picks'!$A$2:$A$31,MATCH("East-"&amp;A10,'My picks'!$I$2:$I$31,0)),"")</f>
        <v/>
      </c>
      <c r="C10">
        <f>IFERROR(INDEX('My picks'!$F$2:$F$31,MATCH("East-"&amp;A10,'My picks'!$I$2:$I$31,0)),"")</f>
        <v/>
      </c>
      <c r="D10">
        <f>IF(C10="","",82-C10)</f>
        <v/>
      </c>
      <c r="E10">
        <f>IF(C10="","",$C$2-C10)</f>
        <v/>
      </c>
      <c r="F10">
        <f>IF(B10="","",IF(A10&lt;=6,"Playoffs",IF(A10&lt;=10,"Play-in","Lottery")))</f>
        <v/>
      </c>
    </row>
    <row r="11">
      <c r="A11" t="n">
        <v>10</v>
      </c>
      <c r="B11">
        <f>IFERROR(INDEX('My picks'!$A$2:$A$31,MATCH("East-"&amp;A11,'My picks'!$I$2:$I$31,0)),"")</f>
        <v/>
      </c>
      <c r="C11">
        <f>IFERROR(INDEX('My picks'!$F$2:$F$31,MATCH("East-"&amp;A11,'My picks'!$I$2:$I$31,0)),"")</f>
        <v/>
      </c>
      <c r="D11">
        <f>IF(C11="","",82-C11)</f>
        <v/>
      </c>
      <c r="E11">
        <f>IF(C11="","",$C$2-C11)</f>
        <v/>
      </c>
      <c r="F11">
        <f>IF(B11="","",IF(A11&lt;=6,"Playoffs",IF(A11&lt;=10,"Play-in","Lottery")))</f>
        <v/>
      </c>
    </row>
    <row r="12">
      <c r="A12" t="n">
        <v>11</v>
      </c>
      <c r="B12">
        <f>IFERROR(INDEX('My picks'!$A$2:$A$31,MATCH("East-"&amp;A12,'My picks'!$I$2:$I$31,0)),"")</f>
        <v/>
      </c>
      <c r="C12">
        <f>IFERROR(INDEX('My picks'!$F$2:$F$31,MATCH("East-"&amp;A12,'My picks'!$I$2:$I$31,0)),"")</f>
        <v/>
      </c>
      <c r="D12">
        <f>IF(C12="","",82-C12)</f>
        <v/>
      </c>
      <c r="E12">
        <f>IF(C12="","",$C$2-C12)</f>
        <v/>
      </c>
      <c r="F12">
        <f>IF(B12="","",IF(A12&lt;=6,"Playoffs",IF(A12&lt;=10,"Play-in","Lottery")))</f>
        <v/>
      </c>
    </row>
    <row r="13">
      <c r="A13" t="n">
        <v>12</v>
      </c>
      <c r="B13">
        <f>IFERROR(INDEX('My picks'!$A$2:$A$31,MATCH("East-"&amp;A13,'My picks'!$I$2:$I$31,0)),"")</f>
        <v/>
      </c>
      <c r="C13">
        <f>IFERROR(INDEX('My picks'!$F$2:$F$31,MATCH("East-"&amp;A13,'My picks'!$I$2:$I$31,0)),"")</f>
        <v/>
      </c>
      <c r="D13">
        <f>IF(C13="","",82-C13)</f>
        <v/>
      </c>
      <c r="E13">
        <f>IF(C13="","",$C$2-C13)</f>
        <v/>
      </c>
      <c r="F13">
        <f>IF(B13="","",IF(A13&lt;=6,"Playoffs",IF(A13&lt;=10,"Play-in","Lottery")))</f>
        <v/>
      </c>
    </row>
    <row r="14">
      <c r="A14" t="n">
        <v>13</v>
      </c>
      <c r="B14">
        <f>IFERROR(INDEX('My picks'!$A$2:$A$31,MATCH("East-"&amp;A14,'My picks'!$I$2:$I$31,0)),"")</f>
        <v/>
      </c>
      <c r="C14">
        <f>IFERROR(INDEX('My picks'!$F$2:$F$31,MATCH("East-"&amp;A14,'My picks'!$I$2:$I$31,0)),"")</f>
        <v/>
      </c>
      <c r="D14">
        <f>IF(C14="","",82-C14)</f>
        <v/>
      </c>
      <c r="E14">
        <f>IF(C14="","",$C$2-C14)</f>
        <v/>
      </c>
      <c r="F14">
        <f>IF(B14="","",IF(A14&lt;=6,"Playoffs",IF(A14&lt;=10,"Play-in","Lottery")))</f>
        <v/>
      </c>
    </row>
    <row r="15">
      <c r="A15" t="n">
        <v>14</v>
      </c>
      <c r="B15">
        <f>IFERROR(INDEX('My picks'!$A$2:$A$31,MATCH("East-"&amp;A15,'My picks'!$I$2:$I$31,0)),"")</f>
        <v/>
      </c>
      <c r="C15">
        <f>IFERROR(INDEX('My picks'!$F$2:$F$31,MATCH("East-"&amp;A15,'My picks'!$I$2:$I$31,0)),"")</f>
        <v/>
      </c>
      <c r="D15">
        <f>IF(C15="","",82-C15)</f>
        <v/>
      </c>
      <c r="E15">
        <f>IF(C15="","",$C$2-C15)</f>
        <v/>
      </c>
      <c r="F15">
        <f>IF(B15="","",IF(A15&lt;=6,"Playoffs",IF(A15&lt;=10,"Play-in","Lottery")))</f>
        <v/>
      </c>
    </row>
    <row r="16">
      <c r="A16" t="n">
        <v>15</v>
      </c>
      <c r="B16">
        <f>IFERROR(INDEX('My picks'!$A$2:$A$31,MATCH("East-"&amp;A16,'My picks'!$I$2:$I$31,0)),"")</f>
        <v/>
      </c>
      <c r="C16">
        <f>IFERROR(INDEX('My picks'!$F$2:$F$31,MATCH("East-"&amp;A16,'My picks'!$I$2:$I$31,0)),"")</f>
        <v/>
      </c>
      <c r="D16">
        <f>IF(C16="","",82-C16)</f>
        <v/>
      </c>
      <c r="E16">
        <f>IF(C16="","",$C$2-C16)</f>
        <v/>
      </c>
      <c r="F16">
        <f>IF(B16="","",IF(A16&lt;=6,"Playoffs",IF(A16&lt;=10,"Play-in","Lottery")))</f>
        <v/>
      </c>
    </row>
  </sheetData>
  <conditionalFormatting sqref="A2:F16">
    <cfRule type="expression" priority="1" dxfId="0">
      <formula>$F2="Playoffs"</formula>
    </cfRule>
    <cfRule type="expression" priority="2" dxfId="1">
      <formula>$F2="Play-in"</formula>
    </cfRule>
    <cfRule type="expression" priority="3" dxfId="2">
      <formula>$F2="Lottery"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2" max="2"/>
  </cols>
  <sheetData>
    <row r="1">
      <c r="A1" s="1" t="inlineStr">
        <is>
          <t>Seed</t>
        </is>
      </c>
      <c r="B1" s="1" t="inlineStr">
        <is>
          <t>Team</t>
        </is>
      </c>
      <c r="C1" s="1" t="inlineStr">
        <is>
          <t>W</t>
        </is>
      </c>
      <c r="D1" s="1" t="inlineStr">
        <is>
          <t>L</t>
        </is>
      </c>
      <c r="E1" s="1" t="inlineStr">
        <is>
          <t>GB</t>
        </is>
      </c>
      <c r="F1" s="1" t="inlineStr">
        <is>
          <t>Status</t>
        </is>
      </c>
    </row>
    <row r="2">
      <c r="A2" t="n">
        <v>1</v>
      </c>
      <c r="B2">
        <f>IFERROR(INDEX('My picks'!$A$2:$A$31,MATCH("West-"&amp;A2,'My picks'!$I$2:$I$31,0)),"")</f>
        <v/>
      </c>
      <c r="C2">
        <f>IFERROR(INDEX('My picks'!$F$2:$F$31,MATCH("West-"&amp;A2,'My picks'!$I$2:$I$31,0)),"")</f>
        <v/>
      </c>
      <c r="D2">
        <f>IF(C2="","",82-C2)</f>
        <v/>
      </c>
      <c r="E2">
        <f>IF(C2="","",$C$2-C2)</f>
        <v/>
      </c>
      <c r="F2">
        <f>IF(B2="","",IF(A2&lt;=6,"Playoffs",IF(A2&lt;=10,"Play-in","Lottery")))</f>
        <v/>
      </c>
    </row>
    <row r="3">
      <c r="A3" t="n">
        <v>2</v>
      </c>
      <c r="B3">
        <f>IFERROR(INDEX('My picks'!$A$2:$A$31,MATCH("West-"&amp;A3,'My picks'!$I$2:$I$31,0)),"")</f>
        <v/>
      </c>
      <c r="C3">
        <f>IFERROR(INDEX('My picks'!$F$2:$F$31,MATCH("West-"&amp;A3,'My picks'!$I$2:$I$31,0)),"")</f>
        <v/>
      </c>
      <c r="D3">
        <f>IF(C3="","",82-C3)</f>
        <v/>
      </c>
      <c r="E3">
        <f>IF(C3="","",$C$2-C3)</f>
        <v/>
      </c>
      <c r="F3">
        <f>IF(B3="","",IF(A3&lt;=6,"Playoffs",IF(A3&lt;=10,"Play-in","Lottery")))</f>
        <v/>
      </c>
    </row>
    <row r="4">
      <c r="A4" t="n">
        <v>3</v>
      </c>
      <c r="B4">
        <f>IFERROR(INDEX('My picks'!$A$2:$A$31,MATCH("West-"&amp;A4,'My picks'!$I$2:$I$31,0)),"")</f>
        <v/>
      </c>
      <c r="C4">
        <f>IFERROR(INDEX('My picks'!$F$2:$F$31,MATCH("West-"&amp;A4,'My picks'!$I$2:$I$31,0)),"")</f>
        <v/>
      </c>
      <c r="D4">
        <f>IF(C4="","",82-C4)</f>
        <v/>
      </c>
      <c r="E4">
        <f>IF(C4="","",$C$2-C4)</f>
        <v/>
      </c>
      <c r="F4">
        <f>IF(B4="","",IF(A4&lt;=6,"Playoffs",IF(A4&lt;=10,"Play-in","Lottery")))</f>
        <v/>
      </c>
    </row>
    <row r="5">
      <c r="A5" t="n">
        <v>4</v>
      </c>
      <c r="B5">
        <f>IFERROR(INDEX('My picks'!$A$2:$A$31,MATCH("West-"&amp;A5,'My picks'!$I$2:$I$31,0)),"")</f>
        <v/>
      </c>
      <c r="C5">
        <f>IFERROR(INDEX('My picks'!$F$2:$F$31,MATCH("West-"&amp;A5,'My picks'!$I$2:$I$31,0)),"")</f>
        <v/>
      </c>
      <c r="D5">
        <f>IF(C5="","",82-C5)</f>
        <v/>
      </c>
      <c r="E5">
        <f>IF(C5="","",$C$2-C5)</f>
        <v/>
      </c>
      <c r="F5">
        <f>IF(B5="","",IF(A5&lt;=6,"Playoffs",IF(A5&lt;=10,"Play-in","Lottery")))</f>
        <v/>
      </c>
    </row>
    <row r="6">
      <c r="A6" t="n">
        <v>5</v>
      </c>
      <c r="B6">
        <f>IFERROR(INDEX('My picks'!$A$2:$A$31,MATCH("West-"&amp;A6,'My picks'!$I$2:$I$31,0)),"")</f>
        <v/>
      </c>
      <c r="C6">
        <f>IFERROR(INDEX('My picks'!$F$2:$F$31,MATCH("West-"&amp;A6,'My picks'!$I$2:$I$31,0)),"")</f>
        <v/>
      </c>
      <c r="D6">
        <f>IF(C6="","",82-C6)</f>
        <v/>
      </c>
      <c r="E6">
        <f>IF(C6="","",$C$2-C6)</f>
        <v/>
      </c>
      <c r="F6">
        <f>IF(B6="","",IF(A6&lt;=6,"Playoffs",IF(A6&lt;=10,"Play-in","Lottery")))</f>
        <v/>
      </c>
    </row>
    <row r="7">
      <c r="A7" t="n">
        <v>6</v>
      </c>
      <c r="B7">
        <f>IFERROR(INDEX('My picks'!$A$2:$A$31,MATCH("West-"&amp;A7,'My picks'!$I$2:$I$31,0)),"")</f>
        <v/>
      </c>
      <c r="C7">
        <f>IFERROR(INDEX('My picks'!$F$2:$F$31,MATCH("West-"&amp;A7,'My picks'!$I$2:$I$31,0)),"")</f>
        <v/>
      </c>
      <c r="D7">
        <f>IF(C7="","",82-C7)</f>
        <v/>
      </c>
      <c r="E7">
        <f>IF(C7="","",$C$2-C7)</f>
        <v/>
      </c>
      <c r="F7">
        <f>IF(B7="","",IF(A7&lt;=6,"Playoffs",IF(A7&lt;=10,"Play-in","Lottery")))</f>
        <v/>
      </c>
    </row>
    <row r="8">
      <c r="A8" t="n">
        <v>7</v>
      </c>
      <c r="B8">
        <f>IFERROR(INDEX('My picks'!$A$2:$A$31,MATCH("West-"&amp;A8,'My picks'!$I$2:$I$31,0)),"")</f>
        <v/>
      </c>
      <c r="C8">
        <f>IFERROR(INDEX('My picks'!$F$2:$F$31,MATCH("West-"&amp;A8,'My picks'!$I$2:$I$31,0)),"")</f>
        <v/>
      </c>
      <c r="D8">
        <f>IF(C8="","",82-C8)</f>
        <v/>
      </c>
      <c r="E8">
        <f>IF(C8="","",$C$2-C8)</f>
        <v/>
      </c>
      <c r="F8">
        <f>IF(B8="","",IF(A8&lt;=6,"Playoffs",IF(A8&lt;=10,"Play-in","Lottery")))</f>
        <v/>
      </c>
    </row>
    <row r="9">
      <c r="A9" t="n">
        <v>8</v>
      </c>
      <c r="B9">
        <f>IFERROR(INDEX('My picks'!$A$2:$A$31,MATCH("West-"&amp;A9,'My picks'!$I$2:$I$31,0)),"")</f>
        <v/>
      </c>
      <c r="C9">
        <f>IFERROR(INDEX('My picks'!$F$2:$F$31,MATCH("West-"&amp;A9,'My picks'!$I$2:$I$31,0)),"")</f>
        <v/>
      </c>
      <c r="D9">
        <f>IF(C9="","",82-C9)</f>
        <v/>
      </c>
      <c r="E9">
        <f>IF(C9="","",$C$2-C9)</f>
        <v/>
      </c>
      <c r="F9">
        <f>IF(B9="","",IF(A9&lt;=6,"Playoffs",IF(A9&lt;=10,"Play-in","Lottery")))</f>
        <v/>
      </c>
    </row>
    <row r="10">
      <c r="A10" t="n">
        <v>9</v>
      </c>
      <c r="B10">
        <f>IFERROR(INDEX('My picks'!$A$2:$A$31,MATCH("West-"&amp;A10,'My picks'!$I$2:$I$31,0)),"")</f>
        <v/>
      </c>
      <c r="C10">
        <f>IFERROR(INDEX('My picks'!$F$2:$F$31,MATCH("West-"&amp;A10,'My picks'!$I$2:$I$31,0)),"")</f>
        <v/>
      </c>
      <c r="D10">
        <f>IF(C10="","",82-C10)</f>
        <v/>
      </c>
      <c r="E10">
        <f>IF(C10="","",$C$2-C10)</f>
        <v/>
      </c>
      <c r="F10">
        <f>IF(B10="","",IF(A10&lt;=6,"Playoffs",IF(A10&lt;=10,"Play-in","Lottery")))</f>
        <v/>
      </c>
    </row>
    <row r="11">
      <c r="A11" t="n">
        <v>10</v>
      </c>
      <c r="B11">
        <f>IFERROR(INDEX('My picks'!$A$2:$A$31,MATCH("West-"&amp;A11,'My picks'!$I$2:$I$31,0)),"")</f>
        <v/>
      </c>
      <c r="C11">
        <f>IFERROR(INDEX('My picks'!$F$2:$F$31,MATCH("West-"&amp;A11,'My picks'!$I$2:$I$31,0)),"")</f>
        <v/>
      </c>
      <c r="D11">
        <f>IF(C11="","",82-C11)</f>
        <v/>
      </c>
      <c r="E11">
        <f>IF(C11="","",$C$2-C11)</f>
        <v/>
      </c>
      <c r="F11">
        <f>IF(B11="","",IF(A11&lt;=6,"Playoffs",IF(A11&lt;=10,"Play-in","Lottery")))</f>
        <v/>
      </c>
    </row>
    <row r="12">
      <c r="A12" t="n">
        <v>11</v>
      </c>
      <c r="B12">
        <f>IFERROR(INDEX('My picks'!$A$2:$A$31,MATCH("West-"&amp;A12,'My picks'!$I$2:$I$31,0)),"")</f>
        <v/>
      </c>
      <c r="C12">
        <f>IFERROR(INDEX('My picks'!$F$2:$F$31,MATCH("West-"&amp;A12,'My picks'!$I$2:$I$31,0)),"")</f>
        <v/>
      </c>
      <c r="D12">
        <f>IF(C12="","",82-C12)</f>
        <v/>
      </c>
      <c r="E12">
        <f>IF(C12="","",$C$2-C12)</f>
        <v/>
      </c>
      <c r="F12">
        <f>IF(B12="","",IF(A12&lt;=6,"Playoffs",IF(A12&lt;=10,"Play-in","Lottery")))</f>
        <v/>
      </c>
    </row>
    <row r="13">
      <c r="A13" t="n">
        <v>12</v>
      </c>
      <c r="B13">
        <f>IFERROR(INDEX('My picks'!$A$2:$A$31,MATCH("West-"&amp;A13,'My picks'!$I$2:$I$31,0)),"")</f>
        <v/>
      </c>
      <c r="C13">
        <f>IFERROR(INDEX('My picks'!$F$2:$F$31,MATCH("West-"&amp;A13,'My picks'!$I$2:$I$31,0)),"")</f>
        <v/>
      </c>
      <c r="D13">
        <f>IF(C13="","",82-C13)</f>
        <v/>
      </c>
      <c r="E13">
        <f>IF(C13="","",$C$2-C13)</f>
        <v/>
      </c>
      <c r="F13">
        <f>IF(B13="","",IF(A13&lt;=6,"Playoffs",IF(A13&lt;=10,"Play-in","Lottery")))</f>
        <v/>
      </c>
    </row>
    <row r="14">
      <c r="A14" t="n">
        <v>13</v>
      </c>
      <c r="B14">
        <f>IFERROR(INDEX('My picks'!$A$2:$A$31,MATCH("West-"&amp;A14,'My picks'!$I$2:$I$31,0)),"")</f>
        <v/>
      </c>
      <c r="C14">
        <f>IFERROR(INDEX('My picks'!$F$2:$F$31,MATCH("West-"&amp;A14,'My picks'!$I$2:$I$31,0)),"")</f>
        <v/>
      </c>
      <c r="D14">
        <f>IF(C14="","",82-C14)</f>
        <v/>
      </c>
      <c r="E14">
        <f>IF(C14="","",$C$2-C14)</f>
        <v/>
      </c>
      <c r="F14">
        <f>IF(B14="","",IF(A14&lt;=6,"Playoffs",IF(A14&lt;=10,"Play-in","Lottery")))</f>
        <v/>
      </c>
    </row>
    <row r="15">
      <c r="A15" t="n">
        <v>14</v>
      </c>
      <c r="B15">
        <f>IFERROR(INDEX('My picks'!$A$2:$A$31,MATCH("West-"&amp;A15,'My picks'!$I$2:$I$31,0)),"")</f>
        <v/>
      </c>
      <c r="C15">
        <f>IFERROR(INDEX('My picks'!$F$2:$F$31,MATCH("West-"&amp;A15,'My picks'!$I$2:$I$31,0)),"")</f>
        <v/>
      </c>
      <c r="D15">
        <f>IF(C15="","",82-C15)</f>
        <v/>
      </c>
      <c r="E15">
        <f>IF(C15="","",$C$2-C15)</f>
        <v/>
      </c>
      <c r="F15">
        <f>IF(B15="","",IF(A15&lt;=6,"Playoffs",IF(A15&lt;=10,"Play-in","Lottery")))</f>
        <v/>
      </c>
    </row>
    <row r="16">
      <c r="A16" t="n">
        <v>15</v>
      </c>
      <c r="B16">
        <f>IFERROR(INDEX('My picks'!$A$2:$A$31,MATCH("West-"&amp;A16,'My picks'!$I$2:$I$31,0)),"")</f>
        <v/>
      </c>
      <c r="C16">
        <f>IFERROR(INDEX('My picks'!$F$2:$F$31,MATCH("West-"&amp;A16,'My picks'!$I$2:$I$31,0)),"")</f>
        <v/>
      </c>
      <c r="D16">
        <f>IF(C16="","",82-C16)</f>
        <v/>
      </c>
      <c r="E16">
        <f>IF(C16="","",$C$2-C16)</f>
        <v/>
      </c>
      <c r="F16">
        <f>IF(B16="","",IF(A16&lt;=6,"Playoffs",IF(A16&lt;=10,"Play-in","Lottery")))</f>
        <v/>
      </c>
    </row>
  </sheetData>
  <conditionalFormatting sqref="A2:F16">
    <cfRule type="expression" priority="1" dxfId="0">
      <formula>$F2="Playoffs"</formula>
    </cfRule>
    <cfRule type="expression" priority="2" dxfId="1">
      <formula>$F2="Play-in"</formula>
    </cfRule>
    <cfRule type="expression" priority="3" dxfId="2">
      <formula>$F2="Lottery"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2026-10-20T22:13:45Z</dcterms:created>
  <dcterms:modified xmlns:dcterms="http://purl.org/dc/terms/" xmlns:xsi="http://www.w3.org/2001/XMLSchema-instance" xsi:type="dcterms:W3CDTF">2026-10-20T22:13:45Z</dcterms:modified>
</cp:coreProperties>
</file>