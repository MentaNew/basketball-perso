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elmehdielkasmi/Projects/personal_projects/basketball/predictions/"/>
    </mc:Choice>
  </mc:AlternateContent>
  <xr:revisionPtr revIDLastSave="0" documentId="13_ncr:1_{9B2C4A8B-976C-0E4C-8BF9-443CB41A5E4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y picks" sheetId="1" r:id="rId1"/>
    <sheet name="East" sheetId="2" r:id="rId2"/>
    <sheet name="W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5" i="1" s="1"/>
  <c r="H31" i="1"/>
  <c r="I31" i="1" s="1"/>
  <c r="G31" i="1"/>
  <c r="H30" i="1"/>
  <c r="I30" i="1" s="1"/>
  <c r="G30" i="1"/>
  <c r="H29" i="1"/>
  <c r="I29" i="1" s="1"/>
  <c r="G29" i="1"/>
  <c r="H28" i="1"/>
  <c r="I28" i="1" s="1"/>
  <c r="G28" i="1"/>
  <c r="H27" i="1"/>
  <c r="I27" i="1" s="1"/>
  <c r="G27" i="1"/>
  <c r="H26" i="1"/>
  <c r="I26" i="1" s="1"/>
  <c r="G26" i="1"/>
  <c r="H25" i="1"/>
  <c r="I25" i="1" s="1"/>
  <c r="G25" i="1"/>
  <c r="H24" i="1"/>
  <c r="I24" i="1" s="1"/>
  <c r="G24" i="1"/>
  <c r="H23" i="1"/>
  <c r="I23" i="1" s="1"/>
  <c r="G23" i="1"/>
  <c r="H22" i="1"/>
  <c r="I22" i="1" s="1"/>
  <c r="G22" i="1"/>
  <c r="H21" i="1"/>
  <c r="I21" i="1" s="1"/>
  <c r="G21" i="1"/>
  <c r="H20" i="1"/>
  <c r="I20" i="1" s="1"/>
  <c r="G20" i="1"/>
  <c r="H19" i="1"/>
  <c r="I19" i="1" s="1"/>
  <c r="G19" i="1"/>
  <c r="H18" i="1"/>
  <c r="I18" i="1" s="1"/>
  <c r="G18" i="1"/>
  <c r="H17" i="1"/>
  <c r="I17" i="1" s="1"/>
  <c r="G17" i="1"/>
  <c r="H16" i="1"/>
  <c r="I16" i="1" s="1"/>
  <c r="G16" i="1"/>
  <c r="H15" i="1"/>
  <c r="I15" i="1" s="1"/>
  <c r="G15" i="1"/>
  <c r="H14" i="1"/>
  <c r="I14" i="1" s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H7" i="1"/>
  <c r="I7" i="1" s="1"/>
  <c r="G7" i="1"/>
  <c r="H6" i="1"/>
  <c r="I6" i="1" s="1"/>
  <c r="G6" i="1"/>
  <c r="H5" i="1"/>
  <c r="I5" i="1" s="1"/>
  <c r="G5" i="1"/>
  <c r="H4" i="1"/>
  <c r="I4" i="1" s="1"/>
  <c r="G4" i="1"/>
  <c r="H3" i="1"/>
  <c r="I3" i="1" s="1"/>
  <c r="G3" i="1"/>
  <c r="H2" i="1"/>
  <c r="I2" i="1" s="1"/>
  <c r="G2" i="1"/>
  <c r="B7" i="3" l="1"/>
  <c r="F7" i="3" s="1"/>
  <c r="C7" i="3"/>
  <c r="B8" i="3"/>
  <c r="F8" i="3" s="1"/>
  <c r="C9" i="3"/>
  <c r="C15" i="3"/>
  <c r="B15" i="2"/>
  <c r="F15" i="2" s="1"/>
  <c r="B5" i="3"/>
  <c r="F5" i="3" s="1"/>
  <c r="C5" i="3"/>
  <c r="B15" i="3"/>
  <c r="F15" i="3" s="1"/>
  <c r="C6" i="3"/>
  <c r="C7" i="2"/>
  <c r="B2" i="2"/>
  <c r="F2" i="2" s="1"/>
  <c r="C2" i="2"/>
  <c r="B3" i="2"/>
  <c r="F3" i="2" s="1"/>
  <c r="C3" i="2"/>
  <c r="B4" i="2"/>
  <c r="F4" i="2" s="1"/>
  <c r="C4" i="2"/>
  <c r="B5" i="2"/>
  <c r="F5" i="2" s="1"/>
  <c r="C5" i="2"/>
  <c r="B6" i="2"/>
  <c r="F6" i="2" s="1"/>
  <c r="C6" i="2"/>
  <c r="B7" i="2"/>
  <c r="F7" i="2" s="1"/>
  <c r="B8" i="2"/>
  <c r="F8" i="2" s="1"/>
  <c r="C8" i="2"/>
  <c r="B9" i="2"/>
  <c r="F9" i="2" s="1"/>
  <c r="C9" i="2"/>
  <c r="B10" i="2"/>
  <c r="F10" i="2" s="1"/>
  <c r="C10" i="2"/>
  <c r="B11" i="2"/>
  <c r="F11" i="2" s="1"/>
  <c r="C11" i="2"/>
  <c r="B12" i="2"/>
  <c r="F12" i="2" s="1"/>
  <c r="C12" i="2"/>
  <c r="B13" i="2"/>
  <c r="F13" i="2" s="1"/>
  <c r="C13" i="2"/>
  <c r="B14" i="2"/>
  <c r="F14" i="2" s="1"/>
  <c r="C15" i="2"/>
  <c r="B16" i="2"/>
  <c r="F16" i="2" s="1"/>
  <c r="C16" i="2"/>
  <c r="B2" i="3"/>
  <c r="F2" i="3" s="1"/>
  <c r="C2" i="3"/>
  <c r="B3" i="3"/>
  <c r="F3" i="3" s="1"/>
  <c r="C3" i="3"/>
  <c r="B4" i="3"/>
  <c r="F4" i="3" s="1"/>
  <c r="C4" i="3"/>
  <c r="C14" i="2"/>
  <c r="B6" i="3"/>
  <c r="F6" i="3" s="1"/>
  <c r="C10" i="3"/>
  <c r="C16" i="3"/>
  <c r="C8" i="3"/>
  <c r="B9" i="3"/>
  <c r="F9" i="3" s="1"/>
  <c r="B10" i="3"/>
  <c r="F10" i="3" s="1"/>
  <c r="B11" i="3"/>
  <c r="F11" i="3" s="1"/>
  <c r="C11" i="3"/>
  <c r="B12" i="3"/>
  <c r="F12" i="3" s="1"/>
  <c r="C12" i="3"/>
  <c r="B13" i="3"/>
  <c r="F13" i="3" s="1"/>
  <c r="C13" i="3"/>
  <c r="B14" i="3"/>
  <c r="F14" i="3" s="1"/>
  <c r="C14" i="3"/>
  <c r="B16" i="3"/>
  <c r="F16" i="3" s="1"/>
  <c r="D7" i="3" l="1"/>
  <c r="E7" i="3"/>
  <c r="D9" i="3"/>
  <c r="E9" i="3"/>
  <c r="D15" i="3"/>
  <c r="E15" i="3"/>
  <c r="D5" i="3"/>
  <c r="E5" i="3"/>
  <c r="E6" i="3"/>
  <c r="D6" i="3"/>
  <c r="D7" i="2"/>
  <c r="E7" i="2"/>
  <c r="D2" i="2"/>
  <c r="E2" i="2"/>
  <c r="D3" i="2"/>
  <c r="E3" i="2"/>
  <c r="D4" i="2"/>
  <c r="E4" i="2"/>
  <c r="D5" i="2"/>
  <c r="E5" i="2"/>
  <c r="D6" i="2"/>
  <c r="E6" i="2"/>
  <c r="D8" i="2"/>
  <c r="E8" i="2"/>
  <c r="D9" i="2"/>
  <c r="E9" i="2"/>
  <c r="D10" i="2"/>
  <c r="E10" i="2"/>
  <c r="D11" i="2"/>
  <c r="E11" i="2"/>
  <c r="D12" i="2"/>
  <c r="E12" i="2"/>
  <c r="D13" i="2"/>
  <c r="E13" i="2"/>
  <c r="D15" i="2"/>
  <c r="E15" i="2"/>
  <c r="D16" i="2"/>
  <c r="E16" i="2"/>
  <c r="D2" i="3"/>
  <c r="E2" i="3"/>
  <c r="D3" i="3"/>
  <c r="E3" i="3"/>
  <c r="D4" i="3"/>
  <c r="E4" i="3"/>
  <c r="E14" i="2"/>
  <c r="D14" i="2"/>
  <c r="D10" i="3"/>
  <c r="E10" i="3"/>
  <c r="D16" i="3"/>
  <c r="E16" i="3"/>
  <c r="D8" i="3"/>
  <c r="E8" i="3"/>
  <c r="D11" i="3"/>
  <c r="E11" i="3"/>
  <c r="D12" i="3"/>
  <c r="E12" i="3"/>
  <c r="D13" i="3"/>
  <c r="E13" i="3"/>
  <c r="D14" i="3"/>
  <c r="E14" i="3"/>
</calcChain>
</file>

<file path=xl/sharedStrings.xml><?xml version="1.0" encoding="utf-8"?>
<sst xmlns="http://schemas.openxmlformats.org/spreadsheetml/2006/main" count="174" uniqueCount="107">
  <si>
    <t>Team</t>
  </si>
  <si>
    <t>Abbr</t>
  </si>
  <si>
    <t>Conference</t>
  </si>
  <si>
    <t>Division</t>
  </si>
  <si>
    <t>2025-26 W-L</t>
  </si>
  <si>
    <t>My wins</t>
  </si>
  <si>
    <t>My losses</t>
  </si>
  <si>
    <t>Conf. rank</t>
  </si>
  <si>
    <t>key</t>
  </si>
  <si>
    <t>Atlanta Hawks</t>
  </si>
  <si>
    <t>ATL</t>
  </si>
  <si>
    <t>East</t>
  </si>
  <si>
    <t>Southeast</t>
  </si>
  <si>
    <t>46-36</t>
  </si>
  <si>
    <t>Boston Celtics</t>
  </si>
  <si>
    <t>BOS</t>
  </si>
  <si>
    <t>Atlantic</t>
  </si>
  <si>
    <t>56-26</t>
  </si>
  <si>
    <t>Brooklyn Nets</t>
  </si>
  <si>
    <t>BRK</t>
  </si>
  <si>
    <t>20-62</t>
  </si>
  <si>
    <t>Charlotte Hornets</t>
  </si>
  <si>
    <t>CHO</t>
  </si>
  <si>
    <t>44-38</t>
  </si>
  <si>
    <t>Chicago Bulls</t>
  </si>
  <si>
    <t>CHI</t>
  </si>
  <si>
    <t>Central</t>
  </si>
  <si>
    <t>31-51</t>
  </si>
  <si>
    <t>Cleveland Cavaliers</t>
  </si>
  <si>
    <t>CLE</t>
  </si>
  <si>
    <t>52-30</t>
  </si>
  <si>
    <t>Detroit Pistons</t>
  </si>
  <si>
    <t>DET</t>
  </si>
  <si>
    <t>60-22</t>
  </si>
  <si>
    <t>Indiana Pacers</t>
  </si>
  <si>
    <t>IND</t>
  </si>
  <si>
    <t>19-63</t>
  </si>
  <si>
    <t>Miami Heat</t>
  </si>
  <si>
    <t>MIA</t>
  </si>
  <si>
    <t>43-39</t>
  </si>
  <si>
    <t>Milwaukee Bucks</t>
  </si>
  <si>
    <t>MIL</t>
  </si>
  <si>
    <t>32-50</t>
  </si>
  <si>
    <t>New York Knicks</t>
  </si>
  <si>
    <t>NYK</t>
  </si>
  <si>
    <t>53-29</t>
  </si>
  <si>
    <t>Orlando Magic</t>
  </si>
  <si>
    <t>ORL</t>
  </si>
  <si>
    <t>45-37</t>
  </si>
  <si>
    <t>Philadelphia 76ers</t>
  </si>
  <si>
    <t>PHI</t>
  </si>
  <si>
    <t>Toronto Raptors</t>
  </si>
  <si>
    <t>TOR</t>
  </si>
  <si>
    <t>Washington Wizards</t>
  </si>
  <si>
    <t>WAS</t>
  </si>
  <si>
    <t>17-65</t>
  </si>
  <si>
    <t>Dallas Mavericks</t>
  </si>
  <si>
    <t>DAL</t>
  </si>
  <si>
    <t>West</t>
  </si>
  <si>
    <t>Southwest</t>
  </si>
  <si>
    <t>26-56</t>
  </si>
  <si>
    <t>Denver Nuggets</t>
  </si>
  <si>
    <t>DEN</t>
  </si>
  <si>
    <t>Northwest</t>
  </si>
  <si>
    <t>54-28</t>
  </si>
  <si>
    <t>Golden State Warriors</t>
  </si>
  <si>
    <t>GSW</t>
  </si>
  <si>
    <t>Pacific</t>
  </si>
  <si>
    <t>37-45</t>
  </si>
  <si>
    <t>Houston Rockets</t>
  </si>
  <si>
    <t>HOU</t>
  </si>
  <si>
    <t>Los Angeles Clippers</t>
  </si>
  <si>
    <t>LAC</t>
  </si>
  <si>
    <t>42-40</t>
  </si>
  <si>
    <t>Los Angeles Lakers</t>
  </si>
  <si>
    <t>LAL</t>
  </si>
  <si>
    <t>Memphis Grizzlies</t>
  </si>
  <si>
    <t>MEM</t>
  </si>
  <si>
    <t>25-57</t>
  </si>
  <si>
    <t>Minnesota Timberwolves</t>
  </si>
  <si>
    <t>MIN</t>
  </si>
  <si>
    <t>49-33</t>
  </si>
  <si>
    <t>New Orleans Pelicans</t>
  </si>
  <si>
    <t>NOP</t>
  </si>
  <si>
    <t>Oklahoma City Thunder</t>
  </si>
  <si>
    <t>OKC</t>
  </si>
  <si>
    <t>64-18</t>
  </si>
  <si>
    <t>Phoenix Suns</t>
  </si>
  <si>
    <t>PHO</t>
  </si>
  <si>
    <t>Portland Trail Blazers</t>
  </si>
  <si>
    <t>POR</t>
  </si>
  <si>
    <t>Sacramento Kings</t>
  </si>
  <si>
    <t>SAC</t>
  </si>
  <si>
    <t>22-60</t>
  </si>
  <si>
    <t>San Antonio Spurs</t>
  </si>
  <si>
    <t>SAS</t>
  </si>
  <si>
    <t>62-20</t>
  </si>
  <si>
    <t>Utah Jazz</t>
  </si>
  <si>
    <t>UTA</t>
  </si>
  <si>
    <t>Total wins</t>
  </si>
  <si>
    <t>Must equal</t>
  </si>
  <si>
    <t>Check</t>
  </si>
  <si>
    <t>Seed</t>
  </si>
  <si>
    <t>W</t>
  </si>
  <si>
    <t>L</t>
  </si>
  <si>
    <t>GB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</si>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</sst>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6">
    <dxf>
      <fill>
        <patternFill patternType="solid">
          <fgColor rgb="FFEFEFEF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25"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5" x14ac:dyDescent="0.2"/>
  <cols>
    <col min="1" max="1" width="26" customWidth="1"/>
    <col min="4" max="5" width="12" customWidth="1"/>
    <col min="9" max="9" width="13" hidden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42</v>
      </c>
      <c r="G2">
        <f t="shared" ref="G2:G31" si="0">IF(F2="","",82-F2)</f>
        <v>40</v>
      </c>
      <c r="H2">
        <f t="shared" ref="H2:H31" si="1">IF(F2="","",COUNTIFS($C$2:$C$31,C2,$F$2:$F$31,"&gt;"&amp;F2)+COUNTIFS($C$2:$C$31,C2,$F$2:$F$31,F2,$A$2:$A$31,"&lt;"&amp;A2)+1)</f>
        <v>10</v>
      </c>
      <c r="I2" t="str">
        <f t="shared" ref="I2:I31" si="2">IF(H2="","",C2&amp;"-"&amp;H2)</f>
        <v>East-10</v>
      </c>
    </row>
    <row r="3" spans="1:9" x14ac:dyDescent="0.2">
      <c r="A3" t="s">
        <v>14</v>
      </c>
      <c r="B3" t="s">
        <v>15</v>
      </c>
      <c r="C3" t="s">
        <v>11</v>
      </c>
      <c r="D3" t="s">
        <v>16</v>
      </c>
      <c r="E3" t="s">
        <v>17</v>
      </c>
      <c r="F3" s="2">
        <v>49</v>
      </c>
      <c r="G3">
        <f t="shared" si="0"/>
        <v>33</v>
      </c>
      <c r="H3">
        <f t="shared" si="1"/>
        <v>4</v>
      </c>
      <c r="I3" t="str">
        <f t="shared" si="2"/>
        <v>East-4</v>
      </c>
    </row>
    <row r="4" spans="1:9" x14ac:dyDescent="0.2">
      <c r="A4" t="s">
        <v>18</v>
      </c>
      <c r="B4" t="s">
        <v>19</v>
      </c>
      <c r="C4" t="s">
        <v>11</v>
      </c>
      <c r="D4" t="s">
        <v>16</v>
      </c>
      <c r="E4" t="s">
        <v>20</v>
      </c>
      <c r="F4" s="2">
        <v>25</v>
      </c>
      <c r="G4">
        <f t="shared" si="0"/>
        <v>57</v>
      </c>
      <c r="H4">
        <f t="shared" si="1"/>
        <v>14</v>
      </c>
      <c r="I4" t="str">
        <f t="shared" si="2"/>
        <v>East-14</v>
      </c>
    </row>
    <row r="5" spans="1:9" x14ac:dyDescent="0.2">
      <c r="A5" t="s">
        <v>21</v>
      </c>
      <c r="B5" t="s">
        <v>22</v>
      </c>
      <c r="C5" t="s">
        <v>11</v>
      </c>
      <c r="D5" t="s">
        <v>12</v>
      </c>
      <c r="E5" t="s">
        <v>23</v>
      </c>
      <c r="F5" s="2">
        <v>34</v>
      </c>
      <c r="G5">
        <f t="shared" si="0"/>
        <v>48</v>
      </c>
      <c r="H5">
        <f t="shared" si="1"/>
        <v>13</v>
      </c>
      <c r="I5" t="str">
        <f t="shared" si="2"/>
        <v>East-13</v>
      </c>
    </row>
    <row r="6" spans="1:9" x14ac:dyDescent="0.2">
      <c r="A6" t="s">
        <v>24</v>
      </c>
      <c r="B6" t="s">
        <v>25</v>
      </c>
      <c r="C6" t="s">
        <v>11</v>
      </c>
      <c r="D6" t="s">
        <v>26</v>
      </c>
      <c r="E6" t="s">
        <v>27</v>
      </c>
      <c r="F6" s="2">
        <v>35</v>
      </c>
      <c r="G6">
        <f t="shared" si="0"/>
        <v>47</v>
      </c>
      <c r="H6">
        <f t="shared" si="1"/>
        <v>12</v>
      </c>
      <c r="I6" t="str">
        <f t="shared" si="2"/>
        <v>East-12</v>
      </c>
    </row>
    <row r="7" spans="1:9" x14ac:dyDescent="0.2">
      <c r="A7" t="s">
        <v>28</v>
      </c>
      <c r="B7" t="s">
        <v>29</v>
      </c>
      <c r="C7" t="s">
        <v>11</v>
      </c>
      <c r="D7" t="s">
        <v>26</v>
      </c>
      <c r="E7" t="s">
        <v>30</v>
      </c>
      <c r="F7" s="2">
        <v>47</v>
      </c>
      <c r="G7">
        <f t="shared" si="0"/>
        <v>35</v>
      </c>
      <c r="H7">
        <f t="shared" si="1"/>
        <v>7</v>
      </c>
      <c r="I7" t="str">
        <f t="shared" si="2"/>
        <v>East-7</v>
      </c>
    </row>
    <row r="8" spans="1:9" x14ac:dyDescent="0.2">
      <c r="A8" t="s">
        <v>31</v>
      </c>
      <c r="B8" t="s">
        <v>32</v>
      </c>
      <c r="C8" t="s">
        <v>11</v>
      </c>
      <c r="D8" t="s">
        <v>26</v>
      </c>
      <c r="E8" t="s">
        <v>33</v>
      </c>
      <c r="F8" s="2">
        <v>53</v>
      </c>
      <c r="G8">
        <f t="shared" si="0"/>
        <v>29</v>
      </c>
      <c r="H8">
        <f t="shared" si="1"/>
        <v>2</v>
      </c>
      <c r="I8" t="str">
        <f t="shared" si="2"/>
        <v>East-2</v>
      </c>
    </row>
    <row r="9" spans="1:9" x14ac:dyDescent="0.2">
      <c r="A9" t="s">
        <v>34</v>
      </c>
      <c r="B9" t="s">
        <v>35</v>
      </c>
      <c r="C9" t="s">
        <v>11</v>
      </c>
      <c r="D9" t="s">
        <v>26</v>
      </c>
      <c r="E9" t="s">
        <v>36</v>
      </c>
      <c r="F9" s="2">
        <v>50</v>
      </c>
      <c r="G9">
        <f t="shared" si="0"/>
        <v>32</v>
      </c>
      <c r="H9">
        <f t="shared" si="1"/>
        <v>3</v>
      </c>
      <c r="I9" t="str">
        <f t="shared" si="2"/>
        <v>East-3</v>
      </c>
    </row>
    <row r="10" spans="1:9" x14ac:dyDescent="0.2">
      <c r="A10" t="s">
        <v>37</v>
      </c>
      <c r="B10" t="s">
        <v>38</v>
      </c>
      <c r="C10" t="s">
        <v>11</v>
      </c>
      <c r="D10" t="s">
        <v>12</v>
      </c>
      <c r="E10" t="s">
        <v>39</v>
      </c>
      <c r="F10" s="2">
        <v>48</v>
      </c>
      <c r="G10">
        <f t="shared" si="0"/>
        <v>34</v>
      </c>
      <c r="H10">
        <f t="shared" si="1"/>
        <v>6</v>
      </c>
      <c r="I10" t="str">
        <f t="shared" si="2"/>
        <v>East-6</v>
      </c>
    </row>
    <row r="11" spans="1:9" x14ac:dyDescent="0.2">
      <c r="A11" t="s">
        <v>40</v>
      </c>
      <c r="B11" t="s">
        <v>41</v>
      </c>
      <c r="C11" t="s">
        <v>11</v>
      </c>
      <c r="D11" t="s">
        <v>26</v>
      </c>
      <c r="E11" t="s">
        <v>42</v>
      </c>
      <c r="F11" s="2">
        <v>23</v>
      </c>
      <c r="G11">
        <f t="shared" si="0"/>
        <v>59</v>
      </c>
      <c r="H11">
        <f t="shared" si="1"/>
        <v>15</v>
      </c>
      <c r="I11" t="str">
        <f t="shared" si="2"/>
        <v>East-15</v>
      </c>
    </row>
    <row r="12" spans="1:9" x14ac:dyDescent="0.2">
      <c r="A12" t="s">
        <v>43</v>
      </c>
      <c r="B12" t="s">
        <v>44</v>
      </c>
      <c r="C12" t="s">
        <v>11</v>
      </c>
      <c r="D12" t="s">
        <v>16</v>
      </c>
      <c r="E12" t="s">
        <v>45</v>
      </c>
      <c r="F12" s="2">
        <v>54</v>
      </c>
      <c r="G12">
        <f t="shared" si="0"/>
        <v>28</v>
      </c>
      <c r="H12">
        <f t="shared" si="1"/>
        <v>1</v>
      </c>
      <c r="I12" t="str">
        <f t="shared" si="2"/>
        <v>East-1</v>
      </c>
    </row>
    <row r="13" spans="1:9" x14ac:dyDescent="0.2">
      <c r="A13" t="s">
        <v>46</v>
      </c>
      <c r="B13" t="s">
        <v>47</v>
      </c>
      <c r="C13" t="s">
        <v>11</v>
      </c>
      <c r="D13" t="s">
        <v>12</v>
      </c>
      <c r="E13" t="s">
        <v>48</v>
      </c>
      <c r="F13" s="2">
        <v>44</v>
      </c>
      <c r="G13">
        <f t="shared" si="0"/>
        <v>38</v>
      </c>
      <c r="H13">
        <f t="shared" si="1"/>
        <v>9</v>
      </c>
      <c r="I13" t="str">
        <f t="shared" si="2"/>
        <v>East-9</v>
      </c>
    </row>
    <row r="14" spans="1:9" x14ac:dyDescent="0.2">
      <c r="A14" t="s">
        <v>49</v>
      </c>
      <c r="B14" t="s">
        <v>50</v>
      </c>
      <c r="C14" t="s">
        <v>11</v>
      </c>
      <c r="D14" t="s">
        <v>16</v>
      </c>
      <c r="E14" t="s">
        <v>48</v>
      </c>
      <c r="F14" s="2">
        <v>47</v>
      </c>
      <c r="G14">
        <f t="shared" si="0"/>
        <v>35</v>
      </c>
      <c r="H14">
        <f t="shared" si="1"/>
        <v>8</v>
      </c>
      <c r="I14" t="str">
        <f t="shared" si="2"/>
        <v>East-8</v>
      </c>
    </row>
    <row r="15" spans="1:9" x14ac:dyDescent="0.2">
      <c r="A15" t="s">
        <v>51</v>
      </c>
      <c r="B15" t="s">
        <v>52</v>
      </c>
      <c r="C15" t="s">
        <v>11</v>
      </c>
      <c r="D15" t="s">
        <v>16</v>
      </c>
      <c r="E15" t="s">
        <v>13</v>
      </c>
      <c r="F15" s="2">
        <v>49</v>
      </c>
      <c r="G15">
        <f t="shared" si="0"/>
        <v>33</v>
      </c>
      <c r="H15">
        <f t="shared" si="1"/>
        <v>5</v>
      </c>
      <c r="I15" t="str">
        <f t="shared" si="2"/>
        <v>East-5</v>
      </c>
    </row>
    <row r="16" spans="1:9" x14ac:dyDescent="0.2">
      <c r="A16" t="s">
        <v>53</v>
      </c>
      <c r="B16" t="s">
        <v>54</v>
      </c>
      <c r="C16" t="s">
        <v>11</v>
      </c>
      <c r="D16" t="s">
        <v>12</v>
      </c>
      <c r="E16" t="s">
        <v>55</v>
      </c>
      <c r="F16" s="2">
        <v>37</v>
      </c>
      <c r="G16">
        <f t="shared" si="0"/>
        <v>45</v>
      </c>
      <c r="H16">
        <f t="shared" si="1"/>
        <v>11</v>
      </c>
      <c r="I16" t="str">
        <f t="shared" si="2"/>
        <v>East-11</v>
      </c>
    </row>
    <row r="17" spans="1:9" x14ac:dyDescent="0.2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s="2">
        <v>32</v>
      </c>
      <c r="G17">
        <f t="shared" si="0"/>
        <v>50</v>
      </c>
      <c r="H17">
        <f t="shared" si="1"/>
        <v>11</v>
      </c>
      <c r="I17" t="str">
        <f t="shared" si="2"/>
        <v>West-11</v>
      </c>
    </row>
    <row r="18" spans="1:9" x14ac:dyDescent="0.2">
      <c r="A18" t="s">
        <v>61</v>
      </c>
      <c r="B18" t="s">
        <v>62</v>
      </c>
      <c r="C18" t="s">
        <v>58</v>
      </c>
      <c r="D18" t="s">
        <v>63</v>
      </c>
      <c r="E18" t="s">
        <v>64</v>
      </c>
      <c r="F18" s="2">
        <v>50</v>
      </c>
      <c r="G18">
        <f t="shared" si="0"/>
        <v>32</v>
      </c>
      <c r="H18">
        <f t="shared" si="1"/>
        <v>5</v>
      </c>
      <c r="I18" t="str">
        <f t="shared" si="2"/>
        <v>West-5</v>
      </c>
    </row>
    <row r="19" spans="1:9" x14ac:dyDescent="0.2">
      <c r="A19" t="s">
        <v>65</v>
      </c>
      <c r="B19" t="s">
        <v>66</v>
      </c>
      <c r="C19" t="s">
        <v>58</v>
      </c>
      <c r="D19" t="s">
        <v>67</v>
      </c>
      <c r="E19" t="s">
        <v>68</v>
      </c>
      <c r="F19" s="2">
        <v>41</v>
      </c>
      <c r="G19">
        <f t="shared" si="0"/>
        <v>41</v>
      </c>
      <c r="H19">
        <f t="shared" si="1"/>
        <v>9</v>
      </c>
      <c r="I19" t="str">
        <f t="shared" si="2"/>
        <v>West-9</v>
      </c>
    </row>
    <row r="20" spans="1:9" x14ac:dyDescent="0.2">
      <c r="A20" t="s">
        <v>69</v>
      </c>
      <c r="B20" t="s">
        <v>70</v>
      </c>
      <c r="C20" t="s">
        <v>58</v>
      </c>
      <c r="D20" t="s">
        <v>59</v>
      </c>
      <c r="E20" t="s">
        <v>30</v>
      </c>
      <c r="F20" s="2">
        <v>48</v>
      </c>
      <c r="G20">
        <f t="shared" si="0"/>
        <v>34</v>
      </c>
      <c r="H20">
        <f t="shared" si="1"/>
        <v>6</v>
      </c>
      <c r="I20" t="str">
        <f t="shared" si="2"/>
        <v>West-6</v>
      </c>
    </row>
    <row r="21" spans="1:9" x14ac:dyDescent="0.2">
      <c r="A21" t="s">
        <v>71</v>
      </c>
      <c r="B21" t="s">
        <v>72</v>
      </c>
      <c r="C21" t="s">
        <v>58</v>
      </c>
      <c r="D21" t="s">
        <v>67</v>
      </c>
      <c r="E21" t="s">
        <v>73</v>
      </c>
      <c r="F21" s="2">
        <v>26</v>
      </c>
      <c r="G21">
        <f t="shared" si="0"/>
        <v>56</v>
      </c>
      <c r="H21">
        <f t="shared" si="1"/>
        <v>12</v>
      </c>
      <c r="I21" t="str">
        <f t="shared" si="2"/>
        <v>West-12</v>
      </c>
    </row>
    <row r="22" spans="1:9" x14ac:dyDescent="0.2">
      <c r="A22" t="s">
        <v>74</v>
      </c>
      <c r="B22" t="s">
        <v>75</v>
      </c>
      <c r="C22" t="s">
        <v>58</v>
      </c>
      <c r="D22" t="s">
        <v>67</v>
      </c>
      <c r="E22" t="s">
        <v>45</v>
      </c>
      <c r="F22" s="2">
        <v>51</v>
      </c>
      <c r="G22">
        <f t="shared" si="0"/>
        <v>31</v>
      </c>
      <c r="H22">
        <f t="shared" si="1"/>
        <v>4</v>
      </c>
      <c r="I22" t="str">
        <f t="shared" si="2"/>
        <v>West-4</v>
      </c>
    </row>
    <row r="23" spans="1:9" x14ac:dyDescent="0.2">
      <c r="A23" t="s">
        <v>76</v>
      </c>
      <c r="B23" t="s">
        <v>77</v>
      </c>
      <c r="C23" t="s">
        <v>58</v>
      </c>
      <c r="D23" t="s">
        <v>59</v>
      </c>
      <c r="E23" t="s">
        <v>78</v>
      </c>
      <c r="F23" s="2">
        <v>25</v>
      </c>
      <c r="G23">
        <f t="shared" si="0"/>
        <v>57</v>
      </c>
      <c r="H23">
        <f t="shared" si="1"/>
        <v>13</v>
      </c>
      <c r="I23" t="str">
        <f t="shared" si="2"/>
        <v>West-13</v>
      </c>
    </row>
    <row r="24" spans="1:9" x14ac:dyDescent="0.2">
      <c r="A24" t="s">
        <v>79</v>
      </c>
      <c r="B24" t="s">
        <v>80</v>
      </c>
      <c r="C24" t="s">
        <v>58</v>
      </c>
      <c r="D24" t="s">
        <v>63</v>
      </c>
      <c r="E24" t="s">
        <v>81</v>
      </c>
      <c r="F24" s="2">
        <v>53</v>
      </c>
      <c r="G24">
        <f t="shared" si="0"/>
        <v>29</v>
      </c>
      <c r="H24">
        <f t="shared" si="1"/>
        <v>3</v>
      </c>
      <c r="I24" t="str">
        <f t="shared" si="2"/>
        <v>West-3</v>
      </c>
    </row>
    <row r="25" spans="1:9" x14ac:dyDescent="0.2">
      <c r="A25" t="s">
        <v>82</v>
      </c>
      <c r="B25" t="s">
        <v>83</v>
      </c>
      <c r="C25" t="s">
        <v>58</v>
      </c>
      <c r="D25" t="s">
        <v>59</v>
      </c>
      <c r="E25" t="s">
        <v>60</v>
      </c>
      <c r="F25" s="2">
        <v>19</v>
      </c>
      <c r="G25">
        <f t="shared" si="0"/>
        <v>63</v>
      </c>
      <c r="H25">
        <f t="shared" si="1"/>
        <v>15</v>
      </c>
      <c r="I25" t="str">
        <f t="shared" si="2"/>
        <v>West-15</v>
      </c>
    </row>
    <row r="26" spans="1:9" x14ac:dyDescent="0.2">
      <c r="A26" t="s">
        <v>84</v>
      </c>
      <c r="B26" t="s">
        <v>85</v>
      </c>
      <c r="C26" t="s">
        <v>58</v>
      </c>
      <c r="D26" t="s">
        <v>63</v>
      </c>
      <c r="E26" t="s">
        <v>86</v>
      </c>
      <c r="F26" s="2">
        <v>61</v>
      </c>
      <c r="G26">
        <f t="shared" si="0"/>
        <v>21</v>
      </c>
      <c r="H26">
        <f t="shared" si="1"/>
        <v>2</v>
      </c>
      <c r="I26" t="str">
        <f t="shared" si="2"/>
        <v>West-2</v>
      </c>
    </row>
    <row r="27" spans="1:9" x14ac:dyDescent="0.2">
      <c r="A27" t="s">
        <v>87</v>
      </c>
      <c r="B27" t="s">
        <v>88</v>
      </c>
      <c r="C27" t="s">
        <v>58</v>
      </c>
      <c r="D27" t="s">
        <v>67</v>
      </c>
      <c r="E27" t="s">
        <v>48</v>
      </c>
      <c r="F27" s="2">
        <v>46</v>
      </c>
      <c r="G27">
        <f t="shared" si="0"/>
        <v>36</v>
      </c>
      <c r="H27">
        <f t="shared" si="1"/>
        <v>7</v>
      </c>
      <c r="I27" t="str">
        <f t="shared" si="2"/>
        <v>West-7</v>
      </c>
    </row>
    <row r="28" spans="1:9" x14ac:dyDescent="0.2">
      <c r="A28" t="s">
        <v>89</v>
      </c>
      <c r="B28" t="s">
        <v>90</v>
      </c>
      <c r="C28" t="s">
        <v>58</v>
      </c>
      <c r="D28" t="s">
        <v>63</v>
      </c>
      <c r="E28" t="s">
        <v>73</v>
      </c>
      <c r="F28" s="2">
        <v>44</v>
      </c>
      <c r="G28">
        <f t="shared" si="0"/>
        <v>38</v>
      </c>
      <c r="H28">
        <f t="shared" si="1"/>
        <v>8</v>
      </c>
      <c r="I28" t="str">
        <f t="shared" si="2"/>
        <v>West-8</v>
      </c>
    </row>
    <row r="29" spans="1:9" x14ac:dyDescent="0.2">
      <c r="A29" t="s">
        <v>91</v>
      </c>
      <c r="B29" t="s">
        <v>92</v>
      </c>
      <c r="C29" t="s">
        <v>58</v>
      </c>
      <c r="D29" t="s">
        <v>67</v>
      </c>
      <c r="E29" t="s">
        <v>93</v>
      </c>
      <c r="F29" s="2">
        <v>20</v>
      </c>
      <c r="G29">
        <f t="shared" si="0"/>
        <v>62</v>
      </c>
      <c r="H29">
        <f t="shared" si="1"/>
        <v>14</v>
      </c>
      <c r="I29" t="str">
        <f t="shared" si="2"/>
        <v>West-14</v>
      </c>
    </row>
    <row r="30" spans="1:9" x14ac:dyDescent="0.2">
      <c r="A30" t="s">
        <v>94</v>
      </c>
      <c r="B30" t="s">
        <v>95</v>
      </c>
      <c r="C30" t="s">
        <v>58</v>
      </c>
      <c r="D30" t="s">
        <v>59</v>
      </c>
      <c r="E30" t="s">
        <v>96</v>
      </c>
      <c r="F30" s="2">
        <v>64</v>
      </c>
      <c r="G30">
        <f t="shared" si="0"/>
        <v>18</v>
      </c>
      <c r="H30">
        <f t="shared" si="1"/>
        <v>1</v>
      </c>
      <c r="I30" t="str">
        <f t="shared" si="2"/>
        <v>West-1</v>
      </c>
    </row>
    <row r="31" spans="1:9" x14ac:dyDescent="0.2">
      <c r="A31" t="s">
        <v>97</v>
      </c>
      <c r="B31" t="s">
        <v>98</v>
      </c>
      <c r="C31" t="s">
        <v>58</v>
      </c>
      <c r="D31" t="s">
        <v>63</v>
      </c>
      <c r="E31" t="s">
        <v>93</v>
      </c>
      <c r="F31" s="2">
        <v>34</v>
      </c>
      <c r="G31">
        <f t="shared" si="0"/>
        <v>48</v>
      </c>
      <c r="H31">
        <f t="shared" si="1"/>
        <v>10</v>
      </c>
      <c r="I31" t="str">
        <f t="shared" si="2"/>
        <v>West-10</v>
      </c>
    </row>
    <row r="33" spans="1:6" x14ac:dyDescent="0.2">
      <c r="A33" s="1" t="s">
        <v>99</v>
      </c>
      <c r="F33">
        <f>SUM(F2:F31)</f>
        <v>1251</v>
      </c>
    </row>
    <row r="34" spans="1:6" x14ac:dyDescent="0.2">
      <c r="A34" s="1" t="s">
        <v>100</v>
      </c>
      <c r="F34">
        <v>1230</v>
      </c>
    </row>
    <row r="35" spans="1:6" x14ac:dyDescent="0.2">
      <c r="A35" s="1" t="s">
        <v>101</v>
      </c>
      <c r="F35" s="1" t="str">
        <f>IF(COUNT(F2:F31)&lt;30,30-COUNT(F2:F31)&amp;" teams left",IF(F33=1230,"✓ adds up",IF(F33&lt;1230,(1230-F33)&amp;" wins short",(F33-1230)&amp;" wins too many")))</f>
        <v>21 wins too many</v>
      </c>
    </row>
  </sheetData>
  <dataValidations count="1">
    <dataValidation type="whole" showErrorMessage="1" error="Wins must be a whole number from 0 to 82." sqref="F2:F31" xr:uid="{00000000-0002-0000-0000-000000000000}">
      <formula1>0</formula1>
      <formula2>82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2" max="2" width="26" customWidth="1"/>
  </cols>
  <sheetData>
    <row r="1" spans="1:6" x14ac:dyDescent="0.2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 x14ac:dyDescent="0.2">
      <c r="A2">
        <v>1</v>
      </c>
      <c r="B2" t="str">
        <f>IFERROR(INDEX('My picks'!$A$2:$A$31,MATCH("East-"&amp;A2,'My picks'!$I$2:$I$31,0)),"")</f>
        <v>New York Knicks</v>
      </c>
      <c r="C2">
        <f>IFERROR(INDEX('My picks'!$F$2:$F$31,MATCH("East-"&amp;A2,'My picks'!$I$2:$I$31,0)),"")</f>
        <v>54</v>
      </c>
      <c r="D2">
        <f t="shared" ref="D2:D16" si="0">IF(C2="","",82-C2)</f>
        <v>28</v>
      </c>
      <c r="E2">
        <f t="shared" ref="E2:E16" si="1">IF(C2="","",$C$2-C2)</f>
        <v>0</v>
      </c>
      <c r="F2" t="str">
        <f t="shared" ref="F2:F16" si="2">IF(B2="","",IF(A2&lt;=6,"Playoffs",IF(A2&lt;=10,"Play-in","Lottery")))</f>
        <v>Playoffs</v>
      </c>
    </row>
    <row r="3" spans="1:6" x14ac:dyDescent="0.2">
      <c r="A3">
        <v>2</v>
      </c>
      <c r="B3" t="str">
        <f>IFERROR(INDEX('My picks'!$A$2:$A$31,MATCH("East-"&amp;A3,'My picks'!$I$2:$I$31,0)),"")</f>
        <v>Detroit Pistons</v>
      </c>
      <c r="C3">
        <f>IFERROR(INDEX('My picks'!$F$2:$F$31,MATCH("East-"&amp;A3,'My picks'!$I$2:$I$31,0)),"")</f>
        <v>53</v>
      </c>
      <c r="D3">
        <f t="shared" si="0"/>
        <v>29</v>
      </c>
      <c r="E3">
        <f t="shared" si="1"/>
        <v>1</v>
      </c>
      <c r="F3" t="str">
        <f t="shared" si="2"/>
        <v>Playoffs</v>
      </c>
    </row>
    <row r="4" spans="1:6" x14ac:dyDescent="0.2">
      <c r="A4">
        <v>3</v>
      </c>
      <c r="B4" t="str">
        <f>IFERROR(INDEX('My picks'!$A$2:$A$31,MATCH("East-"&amp;A4,'My picks'!$I$2:$I$31,0)),"")</f>
        <v>Indiana Pacers</v>
      </c>
      <c r="C4">
        <f>IFERROR(INDEX('My picks'!$F$2:$F$31,MATCH("East-"&amp;A4,'My picks'!$I$2:$I$31,0)),"")</f>
        <v>50</v>
      </c>
      <c r="D4">
        <f t="shared" si="0"/>
        <v>32</v>
      </c>
      <c r="E4">
        <f t="shared" si="1"/>
        <v>4</v>
      </c>
      <c r="F4" t="str">
        <f t="shared" si="2"/>
        <v>Playoffs</v>
      </c>
    </row>
    <row r="5" spans="1:6" x14ac:dyDescent="0.2">
      <c r="A5">
        <v>4</v>
      </c>
      <c r="B5" t="str">
        <f>IFERROR(INDEX('My picks'!$A$2:$A$31,MATCH("East-"&amp;A5,'My picks'!$I$2:$I$31,0)),"")</f>
        <v>Boston Celtics</v>
      </c>
      <c r="C5">
        <f>IFERROR(INDEX('My picks'!$F$2:$F$31,MATCH("East-"&amp;A5,'My picks'!$I$2:$I$31,0)),"")</f>
        <v>49</v>
      </c>
      <c r="D5">
        <f t="shared" si="0"/>
        <v>33</v>
      </c>
      <c r="E5">
        <f t="shared" si="1"/>
        <v>5</v>
      </c>
      <c r="F5" t="str">
        <f t="shared" si="2"/>
        <v>Playoffs</v>
      </c>
    </row>
    <row r="6" spans="1:6" x14ac:dyDescent="0.2">
      <c r="A6">
        <v>5</v>
      </c>
      <c r="B6" t="str">
        <f>IFERROR(INDEX('My picks'!$A$2:$A$31,MATCH("East-"&amp;A6,'My picks'!$I$2:$I$31,0)),"")</f>
        <v>Toronto Raptors</v>
      </c>
      <c r="C6">
        <f>IFERROR(INDEX('My picks'!$F$2:$F$31,MATCH("East-"&amp;A6,'My picks'!$I$2:$I$31,0)),"")</f>
        <v>49</v>
      </c>
      <c r="D6">
        <f t="shared" si="0"/>
        <v>33</v>
      </c>
      <c r="E6">
        <f t="shared" si="1"/>
        <v>5</v>
      </c>
      <c r="F6" t="str">
        <f t="shared" si="2"/>
        <v>Playoffs</v>
      </c>
    </row>
    <row r="7" spans="1:6" x14ac:dyDescent="0.2">
      <c r="A7">
        <v>6</v>
      </c>
      <c r="B7" t="str">
        <f>IFERROR(INDEX('My picks'!$A$2:$A$31,MATCH("East-"&amp;A7,'My picks'!$I$2:$I$31,0)),"")</f>
        <v>Miami Heat</v>
      </c>
      <c r="C7">
        <f>IFERROR(INDEX('My picks'!$F$2:$F$31,MATCH("East-"&amp;A7,'My picks'!$I$2:$I$31,0)),"")</f>
        <v>48</v>
      </c>
      <c r="D7">
        <f t="shared" si="0"/>
        <v>34</v>
      </c>
      <c r="E7">
        <f t="shared" si="1"/>
        <v>6</v>
      </c>
      <c r="F7" t="str">
        <f t="shared" si="2"/>
        <v>Playoffs</v>
      </c>
    </row>
    <row r="8" spans="1:6" x14ac:dyDescent="0.2">
      <c r="A8">
        <v>7</v>
      </c>
      <c r="B8" t="str">
        <f>IFERROR(INDEX('My picks'!$A$2:$A$31,MATCH("East-"&amp;A8,'My picks'!$I$2:$I$31,0)),"")</f>
        <v>Cleveland Cavaliers</v>
      </c>
      <c r="C8">
        <f>IFERROR(INDEX('My picks'!$F$2:$F$31,MATCH("East-"&amp;A8,'My picks'!$I$2:$I$31,0)),"")</f>
        <v>47</v>
      </c>
      <c r="D8">
        <f t="shared" si="0"/>
        <v>35</v>
      </c>
      <c r="E8">
        <f t="shared" si="1"/>
        <v>7</v>
      </c>
      <c r="F8" t="str">
        <f t="shared" si="2"/>
        <v>Play-in</v>
      </c>
    </row>
    <row r="9" spans="1:6" x14ac:dyDescent="0.2">
      <c r="A9">
        <v>8</v>
      </c>
      <c r="B9" t="str">
        <f>IFERROR(INDEX('My picks'!$A$2:$A$31,MATCH("East-"&amp;A9,'My picks'!$I$2:$I$31,0)),"")</f>
        <v>Philadelphia 76ers</v>
      </c>
      <c r="C9">
        <f>IFERROR(INDEX('My picks'!$F$2:$F$31,MATCH("East-"&amp;A9,'My picks'!$I$2:$I$31,0)),"")</f>
        <v>47</v>
      </c>
      <c r="D9">
        <f t="shared" si="0"/>
        <v>35</v>
      </c>
      <c r="E9">
        <f t="shared" si="1"/>
        <v>7</v>
      </c>
      <c r="F9" t="str">
        <f t="shared" si="2"/>
        <v>Play-in</v>
      </c>
    </row>
    <row r="10" spans="1:6" x14ac:dyDescent="0.2">
      <c r="A10">
        <v>9</v>
      </c>
      <c r="B10" t="str">
        <f>IFERROR(INDEX('My picks'!$A$2:$A$31,MATCH("East-"&amp;A10,'My picks'!$I$2:$I$31,0)),"")</f>
        <v>Orlando Magic</v>
      </c>
      <c r="C10">
        <f>IFERROR(INDEX('My picks'!$F$2:$F$31,MATCH("East-"&amp;A10,'My picks'!$I$2:$I$31,0)),"")</f>
        <v>44</v>
      </c>
      <c r="D10">
        <f t="shared" si="0"/>
        <v>38</v>
      </c>
      <c r="E10">
        <f t="shared" si="1"/>
        <v>10</v>
      </c>
      <c r="F10" t="str">
        <f t="shared" si="2"/>
        <v>Play-in</v>
      </c>
    </row>
    <row r="11" spans="1:6" x14ac:dyDescent="0.2">
      <c r="A11">
        <v>10</v>
      </c>
      <c r="B11" t="str">
        <f>IFERROR(INDEX('My picks'!$A$2:$A$31,MATCH("East-"&amp;A11,'My picks'!$I$2:$I$31,0)),"")</f>
        <v>Atlanta Hawks</v>
      </c>
      <c r="C11">
        <f>IFERROR(INDEX('My picks'!$F$2:$F$31,MATCH("East-"&amp;A11,'My picks'!$I$2:$I$31,0)),"")</f>
        <v>42</v>
      </c>
      <c r="D11">
        <f t="shared" si="0"/>
        <v>40</v>
      </c>
      <c r="E11">
        <f t="shared" si="1"/>
        <v>12</v>
      </c>
      <c r="F11" t="str">
        <f t="shared" si="2"/>
        <v>Play-in</v>
      </c>
    </row>
    <row r="12" spans="1:6" x14ac:dyDescent="0.2">
      <c r="A12">
        <v>11</v>
      </c>
      <c r="B12" t="str">
        <f>IFERROR(INDEX('My picks'!$A$2:$A$31,MATCH("East-"&amp;A12,'My picks'!$I$2:$I$31,0)),"")</f>
        <v>Washington Wizards</v>
      </c>
      <c r="C12">
        <f>IFERROR(INDEX('My picks'!$F$2:$F$31,MATCH("East-"&amp;A12,'My picks'!$I$2:$I$31,0)),"")</f>
        <v>37</v>
      </c>
      <c r="D12">
        <f t="shared" si="0"/>
        <v>45</v>
      </c>
      <c r="E12">
        <f t="shared" si="1"/>
        <v>17</v>
      </c>
      <c r="F12" t="str">
        <f t="shared" si="2"/>
        <v>Lottery</v>
      </c>
    </row>
    <row r="13" spans="1:6" x14ac:dyDescent="0.2">
      <c r="A13">
        <v>12</v>
      </c>
      <c r="B13" t="str">
        <f>IFERROR(INDEX('My picks'!$A$2:$A$31,MATCH("East-"&amp;A13,'My picks'!$I$2:$I$31,0)),"")</f>
        <v>Chicago Bulls</v>
      </c>
      <c r="C13">
        <f>IFERROR(INDEX('My picks'!$F$2:$F$31,MATCH("East-"&amp;A13,'My picks'!$I$2:$I$31,0)),"")</f>
        <v>35</v>
      </c>
      <c r="D13">
        <f t="shared" si="0"/>
        <v>47</v>
      </c>
      <c r="E13">
        <f t="shared" si="1"/>
        <v>19</v>
      </c>
      <c r="F13" t="str">
        <f t="shared" si="2"/>
        <v>Lottery</v>
      </c>
    </row>
    <row r="14" spans="1:6" x14ac:dyDescent="0.2">
      <c r="A14">
        <v>13</v>
      </c>
      <c r="B14" t="str">
        <f>IFERROR(INDEX('My picks'!$A$2:$A$31,MATCH("East-"&amp;A14,'My picks'!$I$2:$I$31,0)),"")</f>
        <v>Charlotte Hornets</v>
      </c>
      <c r="C14">
        <f>IFERROR(INDEX('My picks'!$F$2:$F$31,MATCH("East-"&amp;A14,'My picks'!$I$2:$I$31,0)),"")</f>
        <v>34</v>
      </c>
      <c r="D14">
        <f t="shared" si="0"/>
        <v>48</v>
      </c>
      <c r="E14">
        <f t="shared" si="1"/>
        <v>20</v>
      </c>
      <c r="F14" t="str">
        <f t="shared" si="2"/>
        <v>Lottery</v>
      </c>
    </row>
    <row r="15" spans="1:6" x14ac:dyDescent="0.2">
      <c r="A15">
        <v>14</v>
      </c>
      <c r="B15" t="str">
        <f>IFERROR(INDEX('My picks'!$A$2:$A$31,MATCH("East-"&amp;A15,'My picks'!$I$2:$I$31,0)),"")</f>
        <v>Brooklyn Nets</v>
      </c>
      <c r="C15">
        <f>IFERROR(INDEX('My picks'!$F$2:$F$31,MATCH("East-"&amp;A15,'My picks'!$I$2:$I$31,0)),"")</f>
        <v>25</v>
      </c>
      <c r="D15">
        <f t="shared" si="0"/>
        <v>57</v>
      </c>
      <c r="E15">
        <f t="shared" si="1"/>
        <v>29</v>
      </c>
      <c r="F15" t="str">
        <f t="shared" si="2"/>
        <v>Lottery</v>
      </c>
    </row>
    <row r="16" spans="1:6" x14ac:dyDescent="0.2">
      <c r="A16">
        <v>15</v>
      </c>
      <c r="B16" t="str">
        <f>IFERROR(INDEX('My picks'!$A$2:$A$31,MATCH("East-"&amp;A16,'My picks'!$I$2:$I$31,0)),"")</f>
        <v>Milwaukee Bucks</v>
      </c>
      <c r="C16">
        <f>IFERROR(INDEX('My picks'!$F$2:$F$31,MATCH("East-"&amp;A16,'My picks'!$I$2:$I$31,0)),"")</f>
        <v>23</v>
      </c>
      <c r="D16">
        <f t="shared" si="0"/>
        <v>59</v>
      </c>
      <c r="E16">
        <f t="shared" si="1"/>
        <v>31</v>
      </c>
      <c r="F16" t="str">
        <f t="shared" si="2"/>
        <v>Lottery</v>
      </c>
    </row>
  </sheetData>
  <conditionalFormatting sqref="A2:F16">
    <cfRule type="expression" dxfId="5" priority="1">
      <formula>$F2="Playoffs"</formula>
    </cfRule>
    <cfRule type="expression" dxfId="4" priority="2">
      <formula>$F2="Play-in"</formula>
    </cfRule>
    <cfRule type="expression" dxfId="3" priority="3">
      <formula>$F2="Lottery"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2" max="2" width="26" customWidth="1"/>
  </cols>
  <sheetData>
    <row r="1" spans="1:6" x14ac:dyDescent="0.2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 x14ac:dyDescent="0.2">
      <c r="A2">
        <v>1</v>
      </c>
      <c r="B2" t="str">
        <f>IFERROR(INDEX('My picks'!$A$2:$A$31,MATCH("West-"&amp;A2,'My picks'!$I$2:$I$31,0)),"")</f>
        <v>San Antonio Spurs</v>
      </c>
      <c r="C2">
        <f>IFERROR(INDEX('My picks'!$F$2:$F$31,MATCH("West-"&amp;A2,'My picks'!$I$2:$I$31,0)),"")</f>
        <v>64</v>
      </c>
      <c r="D2">
        <f t="shared" ref="D2:D16" si="0">IF(C2="","",82-C2)</f>
        <v>18</v>
      </c>
      <c r="E2">
        <f t="shared" ref="E2:E16" si="1">IF(C2="","",$C$2-C2)</f>
        <v>0</v>
      </c>
      <c r="F2" t="str">
        <f t="shared" ref="F2:F16" si="2">IF(B2="","",IF(A2&lt;=6,"Playoffs",IF(A2&lt;=10,"Play-in","Lottery")))</f>
        <v>Playoffs</v>
      </c>
    </row>
    <row r="3" spans="1:6" x14ac:dyDescent="0.2">
      <c r="A3">
        <v>2</v>
      </c>
      <c r="B3" t="str">
        <f>IFERROR(INDEX('My picks'!$A$2:$A$31,MATCH("West-"&amp;A3,'My picks'!$I$2:$I$31,0)),"")</f>
        <v>Oklahoma City Thunder</v>
      </c>
      <c r="C3">
        <f>IFERROR(INDEX('My picks'!$F$2:$F$31,MATCH("West-"&amp;A3,'My picks'!$I$2:$I$31,0)),"")</f>
        <v>61</v>
      </c>
      <c r="D3">
        <f t="shared" si="0"/>
        <v>21</v>
      </c>
      <c r="E3">
        <f t="shared" si="1"/>
        <v>3</v>
      </c>
      <c r="F3" t="str">
        <f t="shared" si="2"/>
        <v>Playoffs</v>
      </c>
    </row>
    <row r="4" spans="1:6" x14ac:dyDescent="0.2">
      <c r="A4">
        <v>3</v>
      </c>
      <c r="B4" t="str">
        <f>IFERROR(INDEX('My picks'!$A$2:$A$31,MATCH("West-"&amp;A4,'My picks'!$I$2:$I$31,0)),"")</f>
        <v>Minnesota Timberwolves</v>
      </c>
      <c r="C4">
        <f>IFERROR(INDEX('My picks'!$F$2:$F$31,MATCH("West-"&amp;A4,'My picks'!$I$2:$I$31,0)),"")</f>
        <v>53</v>
      </c>
      <c r="D4">
        <f t="shared" si="0"/>
        <v>29</v>
      </c>
      <c r="E4">
        <f t="shared" si="1"/>
        <v>11</v>
      </c>
      <c r="F4" t="str">
        <f t="shared" si="2"/>
        <v>Playoffs</v>
      </c>
    </row>
    <row r="5" spans="1:6" x14ac:dyDescent="0.2">
      <c r="A5">
        <v>4</v>
      </c>
      <c r="B5" t="str">
        <f>IFERROR(INDEX('My picks'!$A$2:$A$31,MATCH("West-"&amp;A5,'My picks'!$I$2:$I$31,0)),"")</f>
        <v>Los Angeles Lakers</v>
      </c>
      <c r="C5">
        <f>IFERROR(INDEX('My picks'!$F$2:$F$31,MATCH("West-"&amp;A5,'My picks'!$I$2:$I$31,0)),"")</f>
        <v>51</v>
      </c>
      <c r="D5">
        <f t="shared" si="0"/>
        <v>31</v>
      </c>
      <c r="E5">
        <f t="shared" si="1"/>
        <v>13</v>
      </c>
      <c r="F5" t="str">
        <f t="shared" si="2"/>
        <v>Playoffs</v>
      </c>
    </row>
    <row r="6" spans="1:6" x14ac:dyDescent="0.2">
      <c r="A6">
        <v>5</v>
      </c>
      <c r="B6" t="str">
        <f>IFERROR(INDEX('My picks'!$A$2:$A$31,MATCH("West-"&amp;A6,'My picks'!$I$2:$I$31,0)),"")</f>
        <v>Denver Nuggets</v>
      </c>
      <c r="C6">
        <f>IFERROR(INDEX('My picks'!$F$2:$F$31,MATCH("West-"&amp;A6,'My picks'!$I$2:$I$31,0)),"")</f>
        <v>50</v>
      </c>
      <c r="D6">
        <f t="shared" si="0"/>
        <v>32</v>
      </c>
      <c r="E6">
        <f t="shared" si="1"/>
        <v>14</v>
      </c>
      <c r="F6" t="str">
        <f t="shared" si="2"/>
        <v>Playoffs</v>
      </c>
    </row>
    <row r="7" spans="1:6" x14ac:dyDescent="0.2">
      <c r="A7">
        <v>6</v>
      </c>
      <c r="B7" t="str">
        <f>IFERROR(INDEX('My picks'!$A$2:$A$31,MATCH("West-"&amp;A7,'My picks'!$I$2:$I$31,0)),"")</f>
        <v>Houston Rockets</v>
      </c>
      <c r="C7">
        <f>IFERROR(INDEX('My picks'!$F$2:$F$31,MATCH("West-"&amp;A7,'My picks'!$I$2:$I$31,0)),"")</f>
        <v>48</v>
      </c>
      <c r="D7">
        <f t="shared" si="0"/>
        <v>34</v>
      </c>
      <c r="E7">
        <f t="shared" si="1"/>
        <v>16</v>
      </c>
      <c r="F7" t="str">
        <f t="shared" si="2"/>
        <v>Playoffs</v>
      </c>
    </row>
    <row r="8" spans="1:6" x14ac:dyDescent="0.2">
      <c r="A8">
        <v>7</v>
      </c>
      <c r="B8" t="str">
        <f>IFERROR(INDEX('My picks'!$A$2:$A$31,MATCH("West-"&amp;A8,'My picks'!$I$2:$I$31,0)),"")</f>
        <v>Phoenix Suns</v>
      </c>
      <c r="C8">
        <f>IFERROR(INDEX('My picks'!$F$2:$F$31,MATCH("West-"&amp;A8,'My picks'!$I$2:$I$31,0)),"")</f>
        <v>46</v>
      </c>
      <c r="D8">
        <f t="shared" si="0"/>
        <v>36</v>
      </c>
      <c r="E8">
        <f t="shared" si="1"/>
        <v>18</v>
      </c>
      <c r="F8" t="str">
        <f t="shared" si="2"/>
        <v>Play-in</v>
      </c>
    </row>
    <row r="9" spans="1:6" x14ac:dyDescent="0.2">
      <c r="A9">
        <v>8</v>
      </c>
      <c r="B9" t="str">
        <f>IFERROR(INDEX('My picks'!$A$2:$A$31,MATCH("West-"&amp;A9,'My picks'!$I$2:$I$31,0)),"")</f>
        <v>Portland Trail Blazers</v>
      </c>
      <c r="C9">
        <f>IFERROR(INDEX('My picks'!$F$2:$F$31,MATCH("West-"&amp;A9,'My picks'!$I$2:$I$31,0)),"")</f>
        <v>44</v>
      </c>
      <c r="D9">
        <f t="shared" si="0"/>
        <v>38</v>
      </c>
      <c r="E9">
        <f t="shared" si="1"/>
        <v>20</v>
      </c>
      <c r="F9" t="str">
        <f t="shared" si="2"/>
        <v>Play-in</v>
      </c>
    </row>
    <row r="10" spans="1:6" x14ac:dyDescent="0.2">
      <c r="A10">
        <v>9</v>
      </c>
      <c r="B10" t="str">
        <f>IFERROR(INDEX('My picks'!$A$2:$A$31,MATCH("West-"&amp;A10,'My picks'!$I$2:$I$31,0)),"")</f>
        <v>Golden State Warriors</v>
      </c>
      <c r="C10">
        <f>IFERROR(INDEX('My picks'!$F$2:$F$31,MATCH("West-"&amp;A10,'My picks'!$I$2:$I$31,0)),"")</f>
        <v>41</v>
      </c>
      <c r="D10">
        <f t="shared" si="0"/>
        <v>41</v>
      </c>
      <c r="E10">
        <f t="shared" si="1"/>
        <v>23</v>
      </c>
      <c r="F10" t="str">
        <f t="shared" si="2"/>
        <v>Play-in</v>
      </c>
    </row>
    <row r="11" spans="1:6" x14ac:dyDescent="0.2">
      <c r="A11">
        <v>10</v>
      </c>
      <c r="B11" t="str">
        <f>IFERROR(INDEX('My picks'!$A$2:$A$31,MATCH("West-"&amp;A11,'My picks'!$I$2:$I$31,0)),"")</f>
        <v>Utah Jazz</v>
      </c>
      <c r="C11">
        <f>IFERROR(INDEX('My picks'!$F$2:$F$31,MATCH("West-"&amp;A11,'My picks'!$I$2:$I$31,0)),"")</f>
        <v>34</v>
      </c>
      <c r="D11">
        <f t="shared" si="0"/>
        <v>48</v>
      </c>
      <c r="E11">
        <f t="shared" si="1"/>
        <v>30</v>
      </c>
      <c r="F11" t="str">
        <f t="shared" si="2"/>
        <v>Play-in</v>
      </c>
    </row>
    <row r="12" spans="1:6" x14ac:dyDescent="0.2">
      <c r="A12">
        <v>11</v>
      </c>
      <c r="B12" t="str">
        <f>IFERROR(INDEX('My picks'!$A$2:$A$31,MATCH("West-"&amp;A12,'My picks'!$I$2:$I$31,0)),"")</f>
        <v>Dallas Mavericks</v>
      </c>
      <c r="C12">
        <f>IFERROR(INDEX('My picks'!$F$2:$F$31,MATCH("West-"&amp;A12,'My picks'!$I$2:$I$31,0)),"")</f>
        <v>32</v>
      </c>
      <c r="D12">
        <f t="shared" si="0"/>
        <v>50</v>
      </c>
      <c r="E12">
        <f t="shared" si="1"/>
        <v>32</v>
      </c>
      <c r="F12" t="str">
        <f t="shared" si="2"/>
        <v>Lottery</v>
      </c>
    </row>
    <row r="13" spans="1:6" x14ac:dyDescent="0.2">
      <c r="A13">
        <v>12</v>
      </c>
      <c r="B13" t="str">
        <f>IFERROR(INDEX('My picks'!$A$2:$A$31,MATCH("West-"&amp;A13,'My picks'!$I$2:$I$31,0)),"")</f>
        <v>Los Angeles Clippers</v>
      </c>
      <c r="C13">
        <f>IFERROR(INDEX('My picks'!$F$2:$F$31,MATCH("West-"&amp;A13,'My picks'!$I$2:$I$31,0)),"")</f>
        <v>26</v>
      </c>
      <c r="D13">
        <f t="shared" si="0"/>
        <v>56</v>
      </c>
      <c r="E13">
        <f t="shared" si="1"/>
        <v>38</v>
      </c>
      <c r="F13" t="str">
        <f t="shared" si="2"/>
        <v>Lottery</v>
      </c>
    </row>
    <row r="14" spans="1:6" x14ac:dyDescent="0.2">
      <c r="A14">
        <v>13</v>
      </c>
      <c r="B14" t="str">
        <f>IFERROR(INDEX('My picks'!$A$2:$A$31,MATCH("West-"&amp;A14,'My picks'!$I$2:$I$31,0)),"")</f>
        <v>Memphis Grizzlies</v>
      </c>
      <c r="C14">
        <f>IFERROR(INDEX('My picks'!$F$2:$F$31,MATCH("West-"&amp;A14,'My picks'!$I$2:$I$31,0)),"")</f>
        <v>25</v>
      </c>
      <c r="D14">
        <f t="shared" si="0"/>
        <v>57</v>
      </c>
      <c r="E14">
        <f t="shared" si="1"/>
        <v>39</v>
      </c>
      <c r="F14" t="str">
        <f t="shared" si="2"/>
        <v>Lottery</v>
      </c>
    </row>
    <row r="15" spans="1:6" x14ac:dyDescent="0.2">
      <c r="A15">
        <v>14</v>
      </c>
      <c r="B15" t="str">
        <f>IFERROR(INDEX('My picks'!$A$2:$A$31,MATCH("West-"&amp;A15,'My picks'!$I$2:$I$31,0)),"")</f>
        <v>Sacramento Kings</v>
      </c>
      <c r="C15">
        <f>IFERROR(INDEX('My picks'!$F$2:$F$31,MATCH("West-"&amp;A15,'My picks'!$I$2:$I$31,0)),"")</f>
        <v>20</v>
      </c>
      <c r="D15">
        <f t="shared" si="0"/>
        <v>62</v>
      </c>
      <c r="E15">
        <f t="shared" si="1"/>
        <v>44</v>
      </c>
      <c r="F15" t="str">
        <f t="shared" si="2"/>
        <v>Lottery</v>
      </c>
    </row>
    <row r="16" spans="1:6" x14ac:dyDescent="0.2">
      <c r="A16">
        <v>15</v>
      </c>
      <c r="B16" t="str">
        <f>IFERROR(INDEX('My picks'!$A$2:$A$31,MATCH("West-"&amp;A16,'My picks'!$I$2:$I$31,0)),"")</f>
        <v>New Orleans Pelicans</v>
      </c>
      <c r="C16">
        <f>IFERROR(INDEX('My picks'!$F$2:$F$31,MATCH("West-"&amp;A16,'My picks'!$I$2:$I$31,0)),"")</f>
        <v>19</v>
      </c>
      <c r="D16">
        <f t="shared" si="0"/>
        <v>63</v>
      </c>
      <c r="E16">
        <f t="shared" si="1"/>
        <v>45</v>
      </c>
      <c r="F16" t="str">
        <f t="shared" si="2"/>
        <v>Lottery</v>
      </c>
    </row>
  </sheetData>
  <conditionalFormatting sqref="A2:F16">
    <cfRule type="expression" dxfId="2" priority="1">
      <formula>$F2="Playoffs"</formula>
    </cfRule>
    <cfRule type="expression" dxfId="1" priority="2">
      <formula>$F2="Play-in"</formula>
    </cfRule>
    <cfRule type="expression" dxfId="0" priority="3">
      <formula>$F2="Lottery"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 picks</vt:lpstr>
      <vt:lpstr>East</vt:lpstr>
      <vt:lpstr>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Mehdi EL KASMI</cp:lastModifiedBy>
  <dcterms:created xsi:type="dcterms:W3CDTF">2026-10-20T22:13:45Z</dcterms:created>
  <dcterms:modified xsi:type="dcterms:W3CDTF">2026-10-21T03:48:05Z</dcterms:modified>
</cp:coreProperties>
</file>